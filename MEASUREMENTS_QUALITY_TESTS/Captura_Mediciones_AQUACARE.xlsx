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ocuments\DOCUMENTOS\MEDICIONES SISTEMA DE MONITOREO\"/>
    </mc:Choice>
  </mc:AlternateContent>
  <xr:revisionPtr revIDLastSave="0" documentId="13_ncr:1_{E720667F-D760-4C16-80CB-F38FA3E95053}" xr6:coauthVersionLast="47" xr6:coauthVersionMax="47" xr10:uidLastSave="{00000000-0000-0000-0000-000000000000}"/>
  <bookViews>
    <workbookView xWindow="-120" yWindow="0" windowWidth="14640" windowHeight="10080" activeTab="7" xr2:uid="{0BCA33D6-38BF-479E-B0D7-C279659B8676}"/>
  </bookViews>
  <sheets>
    <sheet name="50m" sheetId="1" r:id="rId1"/>
    <sheet name="Sheet1" sheetId="5" r:id="rId2"/>
    <sheet name="100m" sheetId="2" r:id="rId3"/>
    <sheet name="150m" sheetId="3" r:id="rId4"/>
    <sheet name="200m" sheetId="4" r:id="rId5"/>
    <sheet name="Ph" sheetId="6" r:id="rId6"/>
    <sheet name="OD" sheetId="7" r:id="rId7"/>
    <sheet name="Turbidez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15" i="7"/>
  <c r="F15" i="7"/>
  <c r="G15" i="6"/>
  <c r="F15" i="6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6" i="6"/>
  <c r="G7" i="6"/>
  <c r="G8" i="6"/>
  <c r="G9" i="6"/>
  <c r="G10" i="6"/>
  <c r="G11" i="6"/>
  <c r="G12" i="6"/>
  <c r="G13" i="6"/>
  <c r="G14" i="6"/>
  <c r="G5" i="6"/>
  <c r="F11" i="6"/>
  <c r="F12" i="6"/>
  <c r="F13" i="6"/>
  <c r="F14" i="6"/>
  <c r="F6" i="6"/>
  <c r="F7" i="6"/>
  <c r="F8" i="6"/>
  <c r="F9" i="6"/>
  <c r="F10" i="6"/>
  <c r="F5" i="6"/>
  <c r="F15" i="8" l="1"/>
  <c r="G15" i="8"/>
</calcChain>
</file>

<file path=xl/sharedStrings.xml><?xml version="1.0" encoding="utf-8"?>
<sst xmlns="http://schemas.openxmlformats.org/spreadsheetml/2006/main" count="487" uniqueCount="128">
  <si>
    <t>PH</t>
  </si>
  <si>
    <t>100m</t>
  </si>
  <si>
    <t>N°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</si>
  <si>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</si>
  <si>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</si>
  <si>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</si>
  <si>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</si>
  <si>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</si>
  <si>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</si>
  <si>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</si>
  <si>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</si>
  <si>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</si>
  <si>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</si>
  <si>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</si>
  <si>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</si>
  <si>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</si>
  <si>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</si>
  <si>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</si>
  <si>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</si>
  <si>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</si>
  <si>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</si>
  <si>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</si>
  <si>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</si>
  <si>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</si>
  <si>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</si>
  <si>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</si>
  <si>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</si>
  <si>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</si>
  <si>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</si>
  <si>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</si>
  <si>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</si>
  <si>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</si>
  <si>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</si>
  <si>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</si>
  <si>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</si>
  <si>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</si>
  <si>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</si>
  <si>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</si>
  <si>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</si>
  <si>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</si>
  <si>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</si>
  <si>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</si>
  <si>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</si>
  <si>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</si>
  <si>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</si>
  <si>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</si>
  <si>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</si>
  <si>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</si>
  <si>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</si>
  <si>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</si>
  <si>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</si>
  <si>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</si>
  <si>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</si>
  <si>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</si>
  <si>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</si>
  <si>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</si>
  <si>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</si>
  <si>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</si>
  <si>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</si>
  <si>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</si>
  <si>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</si>
  <si>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</si>
  <si>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</si>
  <si>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</si>
  <si>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</si>
  <si>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</si>
  <si>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</si>
  <si>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</si>
  <si>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</si>
  <si>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</si>
  <si>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</si>
  <si>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</si>
  <si>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</si>
  <si>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</si>
  <si>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</si>
  <si>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</si>
  <si>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</si>
  <si>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</si>
  <si>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</si>
  <si>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</si>
  <si>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</si>
  <si>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</si>
  <si>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</si>
  <si>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</si>
  <si>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</si>
  <si>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</si>
  <si>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</si>
  <si>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</si>
  <si>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</si>
  <si>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</si>
  <si>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</si>
  <si>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</si>
  <si>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</si>
  <si>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</si>
  <si>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</si>
  <si>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</si>
  <si>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</si>
  <si>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</si>
  <si>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</si>
  <si>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NTU</t>
  </si>
  <si>
    <t>#97</t>
  </si>
  <si>
    <t>#98</t>
  </si>
  <si>
    <t>#99</t>
  </si>
  <si>
    <t>#100</t>
  </si>
  <si>
    <t>50m</t>
  </si>
  <si>
    <t>150m</t>
  </si>
  <si>
    <t>200m</t>
  </si>
  <si>
    <r>
      <t>O</t>
    </r>
    <r>
      <rPr>
        <vertAlign val="subscript"/>
        <sz val="16"/>
        <color theme="0"/>
        <rFont val="ADLaM Display"/>
      </rPr>
      <t>2</t>
    </r>
    <r>
      <rPr>
        <sz val="16"/>
        <color theme="0"/>
        <rFont val="ADLaM Display"/>
      </rPr>
      <t xml:space="preserve"> (mg/L)</t>
    </r>
  </si>
  <si>
    <t>dB</t>
  </si>
  <si>
    <t>RSSI (dBm)</t>
  </si>
  <si>
    <t>.</t>
  </si>
  <si>
    <t>RSSI(dBm)</t>
  </si>
  <si>
    <t>PDR:81.35%</t>
  </si>
  <si>
    <t>PDR:34.62%</t>
  </si>
  <si>
    <t>PDR: 33.04%</t>
  </si>
  <si>
    <t>PDR: 81.82%</t>
  </si>
  <si>
    <t>pH</t>
  </si>
  <si>
    <t>Sistema</t>
  </si>
  <si>
    <t>Orion 410A</t>
  </si>
  <si>
    <t>MAE</t>
  </si>
  <si>
    <t>RMSE</t>
  </si>
  <si>
    <t>&gt;&gt;&gt;</t>
  </si>
  <si>
    <t>OD</t>
  </si>
  <si>
    <t>YSI 2030</t>
  </si>
  <si>
    <t>TOTALES:</t>
  </si>
  <si>
    <t>SISTEMA</t>
  </si>
  <si>
    <t>HI88703</t>
  </si>
  <si>
    <t>Turbidez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</si>
</sst>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0"/>
      <name val="ADLaM Display"/>
    </font>
    <font>
      <sz val="28"/>
      <color theme="0"/>
      <name val="ADLaM Display"/>
    </font>
    <font>
      <sz val="14"/>
      <color theme="1"/>
      <name val="ADLaM Display"/>
    </font>
    <font>
      <sz val="8"/>
      <name val="Aptos Narrow"/>
      <family val="2"/>
      <scheme val="minor"/>
    </font>
    <font>
      <vertAlign val="subscript"/>
      <sz val="16"/>
      <color theme="0"/>
      <name val="ADLaM Display"/>
    </font>
    <font>
      <sz val="14"/>
      <color theme="0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AAF8-2C7F-4C21-951B-4786FCE2D2EC}">
  <dimension ref="E2:K104"/>
  <sheetViews>
    <sheetView workbookViewId="0">
      <selection activeCell="K6" sqref="K6"/>
    </sheetView>
  </sheetViews>
  <sheetFormatPr defaultRowHeight="14.4" x14ac:dyDescent="0.3"/>
  <cols>
    <col min="6" max="6" width="22.6640625" customWidth="1"/>
    <col min="7" max="7" width="15" customWidth="1"/>
    <col min="8" max="8" width="22.77734375" customWidth="1"/>
    <col min="9" max="9" width="23.77734375" customWidth="1"/>
    <col min="10" max="10" width="24.44140625" customWidth="1"/>
    <col min="11" max="11" width="18.88671875" customWidth="1"/>
    <col min="12" max="12" width="9.44140625" customWidth="1"/>
  </cols>
  <sheetData>
    <row r="2" spans="5:11" ht="19.8" customHeight="1" x14ac:dyDescent="0.3"/>
    <row r="3" spans="5:11" ht="42" customHeight="1" x14ac:dyDescent="0.3">
      <c r="E3" s="19" t="s">
        <v>104</v>
      </c>
      <c r="F3" s="20"/>
      <c r="G3" s="20"/>
      <c r="H3" s="20"/>
      <c r="I3" s="20"/>
      <c r="J3" s="20"/>
    </row>
    <row r="4" spans="5:11" ht="36" customHeight="1" x14ac:dyDescent="0.3">
      <c r="E4" s="1" t="s">
        <v>2</v>
      </c>
      <c r="F4" s="1" t="s">
        <v>0</v>
      </c>
      <c r="G4" s="1" t="s">
        <v>99</v>
      </c>
      <c r="H4" s="3" t="s">
        <v>107</v>
      </c>
      <c r="I4" s="1" t="s">
        <v>108</v>
      </c>
      <c r="J4" s="1" t="s">
        <v>109</v>
      </c>
      <c r="K4" s="7" t="s">
        <v>115</v>
      </c>
    </row>
    <row r="5" spans="5:11" ht="19.2" x14ac:dyDescent="0.3">
      <c r="E5" s="2" t="s">
        <v>3</v>
      </c>
      <c r="F5" s="2">
        <v>15.86</v>
      </c>
      <c r="G5" s="2">
        <v>3000</v>
      </c>
      <c r="H5" s="2">
        <v>4.8</v>
      </c>
      <c r="I5" s="2">
        <v>-3.5</v>
      </c>
      <c r="J5" s="4">
        <v>-100</v>
      </c>
    </row>
    <row r="6" spans="5:11" ht="19.2" x14ac:dyDescent="0.3">
      <c r="E6" s="2" t="s">
        <v>4</v>
      </c>
      <c r="F6" s="2">
        <v>15.87</v>
      </c>
      <c r="G6" s="2">
        <v>3000</v>
      </c>
      <c r="H6" s="2">
        <v>4.7300000000000004</v>
      </c>
      <c r="I6" s="2">
        <v>-13</v>
      </c>
      <c r="J6" s="4">
        <v>-100</v>
      </c>
    </row>
    <row r="7" spans="5:11" ht="19.2" x14ac:dyDescent="0.3">
      <c r="E7" s="2" t="s">
        <v>5</v>
      </c>
      <c r="F7" s="2"/>
      <c r="G7" s="2"/>
      <c r="H7" s="2"/>
      <c r="I7" s="2"/>
      <c r="J7" s="4"/>
    </row>
    <row r="8" spans="5:11" ht="19.2" x14ac:dyDescent="0.3">
      <c r="E8" s="2" t="s">
        <v>6</v>
      </c>
      <c r="F8" s="2">
        <v>15.86</v>
      </c>
      <c r="G8" s="2">
        <v>3000</v>
      </c>
      <c r="H8" s="2">
        <v>4.6500000000000004</v>
      </c>
      <c r="I8" s="2">
        <v>-20</v>
      </c>
      <c r="J8" s="4">
        <v>-101</v>
      </c>
    </row>
    <row r="9" spans="5:11" ht="19.2" x14ac:dyDescent="0.3">
      <c r="E9" s="2" t="s">
        <v>7</v>
      </c>
      <c r="F9" s="2"/>
      <c r="G9" s="2"/>
      <c r="H9" s="2"/>
      <c r="I9" s="2"/>
      <c r="J9" s="4"/>
    </row>
    <row r="10" spans="5:11" ht="19.2" x14ac:dyDescent="0.3">
      <c r="E10" s="2" t="s">
        <v>8</v>
      </c>
      <c r="F10" s="2"/>
      <c r="G10" s="2"/>
      <c r="H10" s="2"/>
      <c r="I10" s="2"/>
      <c r="J10" s="4"/>
    </row>
    <row r="11" spans="5:11" ht="19.2" x14ac:dyDescent="0.3">
      <c r="E11" s="2" t="s">
        <v>9</v>
      </c>
      <c r="F11" s="2">
        <v>15.84</v>
      </c>
      <c r="G11" s="2">
        <v>3000</v>
      </c>
      <c r="H11" s="2">
        <v>4.54</v>
      </c>
      <c r="I11" s="2">
        <v>-17</v>
      </c>
      <c r="J11" s="4">
        <v>-98</v>
      </c>
    </row>
    <row r="12" spans="5:11" ht="19.2" x14ac:dyDescent="0.3">
      <c r="E12" s="2" t="s">
        <v>10</v>
      </c>
      <c r="F12" s="2">
        <v>15.85</v>
      </c>
      <c r="G12" s="2">
        <v>3000</v>
      </c>
      <c r="H12" s="2">
        <v>4.5199999999999996</v>
      </c>
      <c r="I12" s="2">
        <v>-14.75</v>
      </c>
      <c r="J12" s="4">
        <v>-100</v>
      </c>
    </row>
    <row r="13" spans="5:11" ht="19.2" x14ac:dyDescent="0.3">
      <c r="E13" s="2" t="s">
        <v>11</v>
      </c>
      <c r="F13" s="2">
        <v>15.84</v>
      </c>
      <c r="G13" s="2">
        <v>3000</v>
      </c>
      <c r="H13" s="2">
        <v>4.4800000000000004</v>
      </c>
      <c r="I13" s="2">
        <v>-7.75</v>
      </c>
      <c r="J13" s="4">
        <v>-98</v>
      </c>
    </row>
    <row r="14" spans="5:11" ht="19.2" x14ac:dyDescent="0.3">
      <c r="E14" s="2" t="s">
        <v>12</v>
      </c>
      <c r="F14" s="2">
        <v>15.84</v>
      </c>
      <c r="G14" s="2">
        <v>3000</v>
      </c>
      <c r="H14" s="2">
        <v>4.46</v>
      </c>
      <c r="I14" s="2">
        <v>-16.5</v>
      </c>
      <c r="J14" s="4">
        <v>-99</v>
      </c>
    </row>
    <row r="15" spans="5:11" ht="19.2" x14ac:dyDescent="0.3">
      <c r="E15" s="2" t="s">
        <v>13</v>
      </c>
      <c r="F15" s="2">
        <v>15.83</v>
      </c>
      <c r="G15" s="2">
        <v>3000</v>
      </c>
      <c r="H15" s="2">
        <v>4.4400000000000004</v>
      </c>
      <c r="I15" s="2">
        <v>-9.25</v>
      </c>
      <c r="J15" s="4">
        <v>-100</v>
      </c>
    </row>
    <row r="16" spans="5:11" ht="19.2" x14ac:dyDescent="0.3">
      <c r="E16" s="2" t="s">
        <v>14</v>
      </c>
      <c r="F16" s="2">
        <v>15.83</v>
      </c>
      <c r="G16" s="2">
        <v>3000</v>
      </c>
      <c r="H16" s="2">
        <v>4.42</v>
      </c>
      <c r="I16" s="2">
        <v>-4.25</v>
      </c>
      <c r="J16" s="4">
        <v>-98</v>
      </c>
    </row>
    <row r="17" spans="5:10" ht="19.2" x14ac:dyDescent="0.3">
      <c r="E17" s="2" t="s">
        <v>15</v>
      </c>
      <c r="F17" s="2">
        <v>15.84</v>
      </c>
      <c r="G17" s="2">
        <v>3000</v>
      </c>
      <c r="H17" s="2">
        <v>4.4000000000000004</v>
      </c>
      <c r="I17" s="2">
        <v>-3.75</v>
      </c>
      <c r="J17" s="4">
        <v>-98</v>
      </c>
    </row>
    <row r="18" spans="5:10" ht="19.2" x14ac:dyDescent="0.3">
      <c r="E18" s="2" t="s">
        <v>16</v>
      </c>
      <c r="F18" s="2">
        <v>15.86</v>
      </c>
      <c r="G18" s="2">
        <v>3000</v>
      </c>
      <c r="H18" s="2">
        <v>4.38</v>
      </c>
      <c r="I18" s="2">
        <v>-6.25</v>
      </c>
      <c r="J18" s="4">
        <v>-99</v>
      </c>
    </row>
    <row r="19" spans="5:10" ht="19.2" x14ac:dyDescent="0.3">
      <c r="E19" s="2" t="s">
        <v>17</v>
      </c>
      <c r="F19" s="2">
        <v>15.83</v>
      </c>
      <c r="G19" s="2">
        <v>3000</v>
      </c>
      <c r="H19" s="2">
        <v>4.3499999999999996</v>
      </c>
      <c r="I19" s="2">
        <v>-1.5</v>
      </c>
      <c r="J19" s="4">
        <v>-98</v>
      </c>
    </row>
    <row r="20" spans="5:10" ht="19.2" x14ac:dyDescent="0.3">
      <c r="E20" s="2" t="s">
        <v>18</v>
      </c>
      <c r="F20" s="2">
        <v>15.84</v>
      </c>
      <c r="G20" s="2">
        <v>3000</v>
      </c>
      <c r="H20" s="2">
        <v>4.33</v>
      </c>
      <c r="I20" s="2">
        <v>-3.25</v>
      </c>
      <c r="J20" s="4">
        <v>-97</v>
      </c>
    </row>
    <row r="21" spans="5:10" ht="19.2" x14ac:dyDescent="0.3">
      <c r="E21" s="2" t="s">
        <v>19</v>
      </c>
      <c r="F21" s="2">
        <v>15.82</v>
      </c>
      <c r="G21" s="2">
        <v>3000</v>
      </c>
      <c r="H21" s="2">
        <v>4.3099999999999996</v>
      </c>
      <c r="I21" s="2">
        <v>-3.5</v>
      </c>
      <c r="J21" s="4">
        <v>-98</v>
      </c>
    </row>
    <row r="22" spans="5:10" ht="19.2" x14ac:dyDescent="0.3">
      <c r="E22" s="2" t="s">
        <v>20</v>
      </c>
      <c r="F22" s="2">
        <v>15.82</v>
      </c>
      <c r="G22" s="2">
        <v>3000</v>
      </c>
      <c r="H22" s="2">
        <v>4.29</v>
      </c>
      <c r="I22" s="2">
        <v>0</v>
      </c>
      <c r="J22" s="4">
        <v>-97</v>
      </c>
    </row>
    <row r="23" spans="5:10" ht="19.2" x14ac:dyDescent="0.3">
      <c r="E23" s="2" t="s">
        <v>21</v>
      </c>
      <c r="F23" s="2">
        <v>15.83</v>
      </c>
      <c r="G23" s="2">
        <v>3000</v>
      </c>
      <c r="H23" s="2">
        <v>4.2699999999999996</v>
      </c>
      <c r="I23" s="2">
        <v>0.75</v>
      </c>
      <c r="J23" s="4">
        <v>-96</v>
      </c>
    </row>
    <row r="24" spans="5:10" ht="19.2" x14ac:dyDescent="0.3">
      <c r="E24" s="2" t="s">
        <v>22</v>
      </c>
      <c r="F24" s="2">
        <v>15.81</v>
      </c>
      <c r="G24" s="2">
        <v>3000</v>
      </c>
      <c r="H24" s="2">
        <v>4.2699999999999996</v>
      </c>
      <c r="I24" s="2">
        <v>-0.25</v>
      </c>
      <c r="J24" s="4">
        <v>-98</v>
      </c>
    </row>
    <row r="25" spans="5:10" ht="19.2" x14ac:dyDescent="0.3">
      <c r="E25" s="2" t="s">
        <v>23</v>
      </c>
      <c r="F25" s="2">
        <v>15.83</v>
      </c>
      <c r="G25" s="2">
        <v>3000</v>
      </c>
      <c r="H25" s="2">
        <v>4.25</v>
      </c>
      <c r="I25" s="2">
        <v>-5</v>
      </c>
      <c r="J25" s="4">
        <v>-100</v>
      </c>
    </row>
    <row r="26" spans="5:10" ht="19.2" x14ac:dyDescent="0.3">
      <c r="E26" s="2" t="s">
        <v>24</v>
      </c>
      <c r="F26" s="2">
        <v>15.81</v>
      </c>
      <c r="G26" s="2">
        <v>3000</v>
      </c>
      <c r="H26" s="2">
        <v>4.2300000000000004</v>
      </c>
      <c r="I26" s="2">
        <v>-5.5</v>
      </c>
      <c r="J26" s="4">
        <v>-99</v>
      </c>
    </row>
    <row r="27" spans="5:10" ht="19.2" x14ac:dyDescent="0.3">
      <c r="E27" s="2" t="s">
        <v>25</v>
      </c>
      <c r="F27" s="2">
        <v>15.83</v>
      </c>
      <c r="G27" s="2">
        <v>3000</v>
      </c>
      <c r="H27" s="2">
        <v>4.2300000000000004</v>
      </c>
      <c r="I27" s="2">
        <v>-3.75</v>
      </c>
      <c r="J27" s="4">
        <v>-98</v>
      </c>
    </row>
    <row r="28" spans="5:10" ht="19.2" x14ac:dyDescent="0.3">
      <c r="E28" s="2" t="s">
        <v>26</v>
      </c>
      <c r="F28" s="2">
        <v>15.82</v>
      </c>
      <c r="G28" s="2">
        <v>3000</v>
      </c>
      <c r="H28" s="2">
        <v>4.21</v>
      </c>
      <c r="I28" s="2">
        <v>-7.25</v>
      </c>
      <c r="J28" s="4">
        <v>-99</v>
      </c>
    </row>
    <row r="29" spans="5:10" ht="19.2" x14ac:dyDescent="0.3">
      <c r="E29" s="2" t="s">
        <v>27</v>
      </c>
      <c r="F29" s="2">
        <v>15.83</v>
      </c>
      <c r="G29" s="2">
        <v>3000</v>
      </c>
      <c r="H29" s="2">
        <v>4.1900000000000004</v>
      </c>
      <c r="I29" s="2">
        <v>-18.5</v>
      </c>
      <c r="J29" s="4">
        <v>-100</v>
      </c>
    </row>
    <row r="30" spans="5:10" ht="19.2" x14ac:dyDescent="0.3">
      <c r="E30" s="2" t="s">
        <v>28</v>
      </c>
      <c r="F30" s="2"/>
      <c r="G30" s="2"/>
      <c r="H30" s="2"/>
      <c r="I30" s="2"/>
      <c r="J30" s="4"/>
    </row>
    <row r="31" spans="5:10" ht="19.2" x14ac:dyDescent="0.3">
      <c r="E31" s="2" t="s">
        <v>29</v>
      </c>
      <c r="F31" s="2">
        <v>15.82</v>
      </c>
      <c r="G31" s="2">
        <v>3000</v>
      </c>
      <c r="H31" s="2">
        <v>4.17</v>
      </c>
      <c r="I31" s="2">
        <v>-4.5</v>
      </c>
      <c r="J31" s="4">
        <v>-100</v>
      </c>
    </row>
    <row r="32" spans="5:10" ht="19.2" x14ac:dyDescent="0.3">
      <c r="E32" s="2" t="s">
        <v>30</v>
      </c>
      <c r="F32" s="2">
        <v>15.81</v>
      </c>
      <c r="G32" s="2">
        <v>3000</v>
      </c>
      <c r="H32" s="2">
        <v>4.1399999999999997</v>
      </c>
      <c r="I32" s="2">
        <v>-2.25</v>
      </c>
      <c r="J32" s="4">
        <v>-98</v>
      </c>
    </row>
    <row r="33" spans="5:10" ht="19.2" x14ac:dyDescent="0.3">
      <c r="E33" s="2" t="s">
        <v>31</v>
      </c>
      <c r="F33" s="2">
        <v>15.81</v>
      </c>
      <c r="G33" s="2">
        <v>3000</v>
      </c>
      <c r="H33" s="2">
        <v>4.1399999999999997</v>
      </c>
      <c r="I33" s="2">
        <v>-4.75</v>
      </c>
      <c r="J33" s="4">
        <v>-100</v>
      </c>
    </row>
    <row r="34" spans="5:10" ht="19.2" x14ac:dyDescent="0.3">
      <c r="E34" s="2" t="s">
        <v>32</v>
      </c>
      <c r="F34" s="2">
        <v>15.81</v>
      </c>
      <c r="G34" s="2">
        <v>3000</v>
      </c>
      <c r="H34" s="2">
        <v>4.1399999999999997</v>
      </c>
      <c r="I34" s="2">
        <v>-5.5</v>
      </c>
      <c r="J34" s="4">
        <v>-97</v>
      </c>
    </row>
    <row r="35" spans="5:10" ht="19.2" x14ac:dyDescent="0.3">
      <c r="E35" s="2" t="s">
        <v>33</v>
      </c>
      <c r="F35" s="2">
        <v>15.83</v>
      </c>
      <c r="G35" s="2">
        <v>3000</v>
      </c>
      <c r="H35" s="2">
        <v>4.12</v>
      </c>
      <c r="I35" s="2">
        <v>-2.25</v>
      </c>
      <c r="J35" s="4">
        <v>-97</v>
      </c>
    </row>
    <row r="36" spans="5:10" ht="19.2" x14ac:dyDescent="0.3">
      <c r="E36" s="2" t="s">
        <v>34</v>
      </c>
      <c r="F36" s="2">
        <v>15.8</v>
      </c>
      <c r="G36" s="2">
        <v>3000</v>
      </c>
      <c r="H36" s="2">
        <v>4.0999999999999996</v>
      </c>
      <c r="I36" s="2">
        <v>-10.5</v>
      </c>
      <c r="J36" s="4">
        <v>-97</v>
      </c>
    </row>
    <row r="37" spans="5:10" ht="19.2" x14ac:dyDescent="0.3">
      <c r="E37" s="2" t="s">
        <v>35</v>
      </c>
      <c r="F37" s="2"/>
      <c r="G37" s="2"/>
      <c r="H37" s="2"/>
      <c r="I37" s="2"/>
      <c r="J37" s="4"/>
    </row>
    <row r="38" spans="5:10" ht="19.2" x14ac:dyDescent="0.3">
      <c r="E38" s="2" t="s">
        <v>36</v>
      </c>
      <c r="F38" s="2">
        <v>15.81</v>
      </c>
      <c r="G38" s="2">
        <v>3000</v>
      </c>
      <c r="H38" s="2">
        <v>4.0999999999999996</v>
      </c>
      <c r="I38" s="2">
        <v>-14.5</v>
      </c>
      <c r="J38" s="4">
        <v>-98</v>
      </c>
    </row>
    <row r="39" spans="5:10" ht="19.2" x14ac:dyDescent="0.3">
      <c r="E39" s="2" t="s">
        <v>37</v>
      </c>
      <c r="F39" s="2">
        <v>15.83</v>
      </c>
      <c r="G39" s="2">
        <v>3000</v>
      </c>
      <c r="H39" s="2">
        <v>4.08</v>
      </c>
      <c r="I39" s="2">
        <v>-4.75</v>
      </c>
      <c r="J39" s="4">
        <v>-96</v>
      </c>
    </row>
    <row r="40" spans="5:10" ht="19.2" x14ac:dyDescent="0.3">
      <c r="E40" s="2" t="s">
        <v>38</v>
      </c>
      <c r="F40" s="2">
        <v>15.81</v>
      </c>
      <c r="G40" s="2">
        <v>3000</v>
      </c>
      <c r="H40" s="2">
        <v>4.08</v>
      </c>
      <c r="I40" s="2">
        <v>-1</v>
      </c>
      <c r="J40" s="4">
        <v>-96</v>
      </c>
    </row>
    <row r="41" spans="5:10" ht="19.2" x14ac:dyDescent="0.3">
      <c r="E41" s="2" t="s">
        <v>39</v>
      </c>
      <c r="F41" s="2">
        <v>15.83</v>
      </c>
      <c r="G41" s="2">
        <v>3000</v>
      </c>
      <c r="H41" s="2">
        <v>4.08</v>
      </c>
      <c r="I41" s="2">
        <v>-2</v>
      </c>
      <c r="J41" s="4">
        <v>-96</v>
      </c>
    </row>
    <row r="42" spans="5:10" ht="19.2" x14ac:dyDescent="0.3">
      <c r="E42" s="2" t="s">
        <v>40</v>
      </c>
      <c r="F42" s="2">
        <v>15.82</v>
      </c>
      <c r="G42" s="2">
        <v>3000</v>
      </c>
      <c r="H42" s="2">
        <v>4.0599999999999996</v>
      </c>
      <c r="I42" s="2">
        <v>-5.5</v>
      </c>
      <c r="J42" s="4">
        <v>-99</v>
      </c>
    </row>
    <row r="43" spans="5:10" ht="19.2" x14ac:dyDescent="0.3">
      <c r="E43" s="2" t="s">
        <v>41</v>
      </c>
      <c r="F43" s="2">
        <v>15.81</v>
      </c>
      <c r="G43" s="2">
        <v>3000</v>
      </c>
      <c r="H43" s="2">
        <v>4.0599999999999996</v>
      </c>
      <c r="I43" s="2">
        <v>-8.5</v>
      </c>
      <c r="J43" s="4">
        <v>-99</v>
      </c>
    </row>
    <row r="44" spans="5:10" ht="19.2" x14ac:dyDescent="0.3">
      <c r="E44" s="2" t="s">
        <v>42</v>
      </c>
      <c r="F44" s="2">
        <v>15.83</v>
      </c>
      <c r="G44" s="2">
        <v>3000</v>
      </c>
      <c r="H44" s="2">
        <v>4.0599999999999996</v>
      </c>
      <c r="I44" s="2">
        <v>-3.5</v>
      </c>
      <c r="J44" s="4">
        <v>-98</v>
      </c>
    </row>
    <row r="45" spans="5:10" ht="19.2" x14ac:dyDescent="0.3">
      <c r="E45" s="2" t="s">
        <v>43</v>
      </c>
      <c r="F45" s="2">
        <v>15.81</v>
      </c>
      <c r="G45" s="2">
        <v>3000</v>
      </c>
      <c r="H45" s="2">
        <v>4.04</v>
      </c>
      <c r="I45" s="2">
        <v>-12</v>
      </c>
      <c r="J45" s="4">
        <v>-99</v>
      </c>
    </row>
    <row r="46" spans="5:10" ht="19.2" x14ac:dyDescent="0.3">
      <c r="E46" s="2" t="s">
        <v>44</v>
      </c>
      <c r="F46" s="2">
        <v>15.8</v>
      </c>
      <c r="G46" s="2">
        <v>3000</v>
      </c>
      <c r="H46" s="2">
        <v>4.04</v>
      </c>
      <c r="I46" s="2">
        <v>-2.75</v>
      </c>
      <c r="J46" s="4">
        <v>-98</v>
      </c>
    </row>
    <row r="47" spans="5:10" ht="19.2" x14ac:dyDescent="0.3">
      <c r="E47" s="2" t="s">
        <v>45</v>
      </c>
      <c r="F47" s="2">
        <v>15.8</v>
      </c>
      <c r="G47" s="2">
        <v>3000</v>
      </c>
      <c r="H47" s="2">
        <v>4.04</v>
      </c>
      <c r="I47" s="2">
        <v>-4.5</v>
      </c>
      <c r="J47" s="4">
        <v>-98</v>
      </c>
    </row>
    <row r="48" spans="5:10" ht="19.2" x14ac:dyDescent="0.3">
      <c r="E48" s="2" t="s">
        <v>46</v>
      </c>
      <c r="F48" s="2">
        <v>15.8</v>
      </c>
      <c r="G48" s="2">
        <v>3000</v>
      </c>
      <c r="H48" s="2">
        <v>4.04</v>
      </c>
      <c r="I48" s="2">
        <v>-3.75</v>
      </c>
      <c r="J48" s="4">
        <v>-99</v>
      </c>
    </row>
    <row r="49" spans="5:10" ht="19.2" x14ac:dyDescent="0.3">
      <c r="E49" s="2" t="s">
        <v>47</v>
      </c>
      <c r="F49" s="2">
        <v>15.78</v>
      </c>
      <c r="G49" s="2">
        <v>3000</v>
      </c>
      <c r="H49" s="2">
        <v>4.04</v>
      </c>
      <c r="I49" s="2">
        <v>-1.75</v>
      </c>
      <c r="J49" s="4">
        <v>-98</v>
      </c>
    </row>
    <row r="50" spans="5:10" ht="19.2" x14ac:dyDescent="0.3">
      <c r="E50" s="2" t="s">
        <v>48</v>
      </c>
      <c r="F50" s="2">
        <v>15.79</v>
      </c>
      <c r="G50" s="2">
        <v>3000</v>
      </c>
      <c r="H50" s="2">
        <v>4.0199999999999996</v>
      </c>
      <c r="I50" s="2">
        <v>-3</v>
      </c>
      <c r="J50" s="4">
        <v>-99</v>
      </c>
    </row>
    <row r="51" spans="5:10" ht="19.2" x14ac:dyDescent="0.3">
      <c r="E51" s="2" t="s">
        <v>49</v>
      </c>
      <c r="F51" s="2">
        <v>15.77</v>
      </c>
      <c r="G51" s="2">
        <v>3000</v>
      </c>
      <c r="H51" s="2">
        <v>4.0199999999999996</v>
      </c>
      <c r="I51" s="2">
        <v>-2.75</v>
      </c>
      <c r="J51" s="4">
        <v>-97</v>
      </c>
    </row>
    <row r="52" spans="5:10" ht="19.2" x14ac:dyDescent="0.3">
      <c r="E52" s="2" t="s">
        <v>50</v>
      </c>
      <c r="F52" s="2">
        <v>15.78</v>
      </c>
      <c r="G52" s="2">
        <v>3000</v>
      </c>
      <c r="H52" s="2">
        <v>4.0199999999999996</v>
      </c>
      <c r="I52" s="2">
        <v>-6.5</v>
      </c>
      <c r="J52" s="4">
        <v>-98</v>
      </c>
    </row>
    <row r="53" spans="5:10" ht="19.2" x14ac:dyDescent="0.3">
      <c r="E53" s="2" t="s">
        <v>51</v>
      </c>
      <c r="F53" s="2">
        <v>15.77</v>
      </c>
      <c r="G53" s="2">
        <v>3000</v>
      </c>
      <c r="H53" s="2">
        <v>4.0199999999999996</v>
      </c>
      <c r="I53" s="2">
        <v>-4.75</v>
      </c>
      <c r="J53" s="4">
        <v>-99</v>
      </c>
    </row>
    <row r="54" spans="5:10" ht="19.2" x14ac:dyDescent="0.3">
      <c r="E54" s="2" t="s">
        <v>52</v>
      </c>
      <c r="F54" s="2">
        <v>15.77</v>
      </c>
      <c r="G54" s="2">
        <v>3000</v>
      </c>
      <c r="H54" s="2">
        <v>4</v>
      </c>
      <c r="I54" s="2">
        <v>-9.75</v>
      </c>
      <c r="J54" s="4">
        <v>-98</v>
      </c>
    </row>
    <row r="55" spans="5:10" ht="19.2" x14ac:dyDescent="0.3">
      <c r="E55" s="2" t="s">
        <v>53</v>
      </c>
      <c r="F55" s="2">
        <v>15.79</v>
      </c>
      <c r="G55" s="2">
        <v>3000</v>
      </c>
      <c r="H55" s="2">
        <v>4</v>
      </c>
      <c r="I55" s="2">
        <v>-7.75</v>
      </c>
      <c r="J55" s="4">
        <v>-98</v>
      </c>
    </row>
    <row r="56" spans="5:10" ht="19.2" x14ac:dyDescent="0.3">
      <c r="E56" s="2" t="s">
        <v>54</v>
      </c>
      <c r="F56" s="2">
        <v>15.77</v>
      </c>
      <c r="G56" s="2">
        <v>3000</v>
      </c>
      <c r="H56" s="2">
        <v>4</v>
      </c>
      <c r="I56" s="2">
        <v>-8</v>
      </c>
      <c r="J56" s="4">
        <v>-98</v>
      </c>
    </row>
    <row r="57" spans="5:10" ht="19.2" x14ac:dyDescent="0.3">
      <c r="E57" s="2" t="s">
        <v>55</v>
      </c>
      <c r="F57" s="2">
        <v>15.78</v>
      </c>
      <c r="G57" s="2">
        <v>3000</v>
      </c>
      <c r="H57" s="2">
        <v>4</v>
      </c>
      <c r="I57" s="2">
        <v>-9.25</v>
      </c>
      <c r="J57" s="4">
        <v>-100</v>
      </c>
    </row>
    <row r="58" spans="5:10" ht="19.2" x14ac:dyDescent="0.3">
      <c r="E58" s="2" t="s">
        <v>56</v>
      </c>
      <c r="F58" s="2">
        <v>15.79</v>
      </c>
      <c r="G58" s="2">
        <v>3000</v>
      </c>
      <c r="H58" s="2">
        <v>3.97</v>
      </c>
      <c r="I58" s="2">
        <v>-3.25</v>
      </c>
      <c r="J58" s="4">
        <v>-98</v>
      </c>
    </row>
    <row r="59" spans="5:10" ht="19.2" x14ac:dyDescent="0.3">
      <c r="E59" s="2" t="s">
        <v>57</v>
      </c>
      <c r="F59" s="2">
        <v>15.79</v>
      </c>
      <c r="G59" s="2">
        <v>3000</v>
      </c>
      <c r="H59" s="2">
        <v>4</v>
      </c>
      <c r="I59" s="2">
        <v>-3.25</v>
      </c>
      <c r="J59" s="4">
        <v>-97</v>
      </c>
    </row>
    <row r="60" spans="5:10" ht="19.2" x14ac:dyDescent="0.3">
      <c r="E60" s="2" t="s">
        <v>58</v>
      </c>
      <c r="F60" s="2">
        <v>15.79</v>
      </c>
      <c r="G60" s="2">
        <v>3000</v>
      </c>
      <c r="H60" s="2">
        <v>3.97</v>
      </c>
      <c r="I60" s="2">
        <v>-4</v>
      </c>
      <c r="J60" s="4">
        <v>-99</v>
      </c>
    </row>
    <row r="61" spans="5:10" ht="19.2" x14ac:dyDescent="0.3">
      <c r="E61" s="2" t="s">
        <v>59</v>
      </c>
      <c r="F61" s="2">
        <v>15.79</v>
      </c>
      <c r="G61" s="2">
        <v>3000</v>
      </c>
      <c r="H61" s="2">
        <v>3.97</v>
      </c>
      <c r="I61" s="2">
        <v>-13.5</v>
      </c>
      <c r="J61" s="4">
        <v>-99</v>
      </c>
    </row>
    <row r="62" spans="5:10" ht="19.2" x14ac:dyDescent="0.3">
      <c r="E62" s="2" t="s">
        <v>60</v>
      </c>
      <c r="F62" s="2">
        <v>15.78</v>
      </c>
      <c r="G62" s="2">
        <v>3000</v>
      </c>
      <c r="H62" s="2">
        <v>3.95</v>
      </c>
      <c r="I62" s="2">
        <v>-13.5</v>
      </c>
      <c r="J62" s="4">
        <v>-99</v>
      </c>
    </row>
    <row r="63" spans="5:10" ht="19.2" x14ac:dyDescent="0.3">
      <c r="E63" s="2" t="s">
        <v>61</v>
      </c>
      <c r="F63" s="2">
        <v>15.79</v>
      </c>
      <c r="G63" s="2">
        <v>3000</v>
      </c>
      <c r="H63" s="2">
        <v>3.97</v>
      </c>
      <c r="I63" s="2">
        <v>-6</v>
      </c>
      <c r="J63" s="4">
        <v>-100</v>
      </c>
    </row>
    <row r="64" spans="5:10" ht="19.2" x14ac:dyDescent="0.3">
      <c r="E64" s="2" t="s">
        <v>62</v>
      </c>
      <c r="F64" s="2">
        <v>15.77</v>
      </c>
      <c r="G64" s="2">
        <v>3000</v>
      </c>
      <c r="H64" s="2">
        <v>3.95</v>
      </c>
      <c r="I64" s="2">
        <v>-4.75</v>
      </c>
      <c r="J64" s="4">
        <v>-99</v>
      </c>
    </row>
    <row r="65" spans="5:10" ht="19.2" x14ac:dyDescent="0.3">
      <c r="E65" s="2" t="s">
        <v>63</v>
      </c>
      <c r="F65" s="2">
        <v>15.77</v>
      </c>
      <c r="G65" s="2">
        <v>3000</v>
      </c>
      <c r="H65" s="2">
        <v>3.95</v>
      </c>
      <c r="I65" s="2">
        <v>-8.5</v>
      </c>
      <c r="J65" s="4">
        <v>-99</v>
      </c>
    </row>
    <row r="66" spans="5:10" ht="19.2" x14ac:dyDescent="0.3">
      <c r="E66" s="2" t="s">
        <v>64</v>
      </c>
      <c r="F66" s="2">
        <v>15.79</v>
      </c>
      <c r="G66" s="2">
        <v>3000</v>
      </c>
      <c r="H66" s="2">
        <v>3.95</v>
      </c>
      <c r="I66" s="2">
        <v>-1.25</v>
      </c>
      <c r="J66" s="4">
        <v>-97</v>
      </c>
    </row>
    <row r="67" spans="5:10" ht="19.2" x14ac:dyDescent="0.3">
      <c r="E67" s="2" t="s">
        <v>65</v>
      </c>
      <c r="F67" s="2">
        <v>15.78</v>
      </c>
      <c r="G67" s="2">
        <v>3000</v>
      </c>
      <c r="H67" s="2">
        <v>3.95</v>
      </c>
      <c r="I67" s="2">
        <v>-4.5</v>
      </c>
      <c r="J67" s="4">
        <v>-99</v>
      </c>
    </row>
    <row r="68" spans="5:10" ht="19.2" x14ac:dyDescent="0.3">
      <c r="E68" s="2" t="s">
        <v>66</v>
      </c>
      <c r="F68" s="2">
        <v>15.77</v>
      </c>
      <c r="G68" s="2">
        <v>3000</v>
      </c>
      <c r="H68" s="2">
        <v>3.95</v>
      </c>
      <c r="I68" s="2">
        <v>-12.25</v>
      </c>
      <c r="J68" s="4">
        <v>-100</v>
      </c>
    </row>
    <row r="69" spans="5:10" ht="19.2" x14ac:dyDescent="0.3">
      <c r="E69" s="2" t="s">
        <v>67</v>
      </c>
      <c r="F69" s="2">
        <v>15.8</v>
      </c>
      <c r="G69" s="2">
        <v>3000</v>
      </c>
      <c r="H69" s="2">
        <v>3.95</v>
      </c>
      <c r="I69" s="2">
        <v>-11</v>
      </c>
      <c r="J69" s="4">
        <v>-100</v>
      </c>
    </row>
    <row r="70" spans="5:10" ht="19.2" x14ac:dyDescent="0.3">
      <c r="E70" s="2" t="s">
        <v>68</v>
      </c>
      <c r="F70" s="2">
        <v>15.77</v>
      </c>
      <c r="G70" s="2">
        <v>3000</v>
      </c>
      <c r="H70" s="2">
        <v>3.95</v>
      </c>
      <c r="I70" s="2">
        <v>-12.75</v>
      </c>
      <c r="J70" s="4">
        <v>-100</v>
      </c>
    </row>
    <row r="71" spans="5:10" ht="19.2" x14ac:dyDescent="0.3">
      <c r="E71" s="2" t="s">
        <v>69</v>
      </c>
      <c r="F71" s="2">
        <v>15.79</v>
      </c>
      <c r="G71" s="2">
        <v>3000</v>
      </c>
      <c r="H71" s="2">
        <v>3.95</v>
      </c>
      <c r="I71" s="2">
        <v>-10.5</v>
      </c>
      <c r="J71" s="4">
        <v>-100</v>
      </c>
    </row>
    <row r="72" spans="5:10" ht="19.2" x14ac:dyDescent="0.3">
      <c r="E72" s="2" t="s">
        <v>70</v>
      </c>
      <c r="F72" s="2">
        <v>15.8</v>
      </c>
      <c r="G72" s="2">
        <v>3000</v>
      </c>
      <c r="H72" s="2">
        <v>3.95</v>
      </c>
      <c r="I72" s="2">
        <v>-14.25</v>
      </c>
      <c r="J72" s="4">
        <v>-100</v>
      </c>
    </row>
    <row r="73" spans="5:10" ht="19.2" x14ac:dyDescent="0.3">
      <c r="E73" s="2" t="s">
        <v>71</v>
      </c>
      <c r="F73" s="2">
        <v>15.79</v>
      </c>
      <c r="G73" s="2">
        <v>3000</v>
      </c>
      <c r="H73" s="2">
        <v>3.93</v>
      </c>
      <c r="I73" s="2">
        <v>-10.25</v>
      </c>
      <c r="J73" s="4">
        <v>-100</v>
      </c>
    </row>
    <row r="74" spans="5:10" ht="19.2" x14ac:dyDescent="0.3">
      <c r="E74" s="2" t="s">
        <v>72</v>
      </c>
      <c r="F74" s="2">
        <v>15.78</v>
      </c>
      <c r="G74" s="2">
        <v>3000</v>
      </c>
      <c r="H74" s="2">
        <v>3.95</v>
      </c>
      <c r="I74" s="2">
        <v>-9.75</v>
      </c>
      <c r="J74" s="4">
        <v>-98</v>
      </c>
    </row>
    <row r="75" spans="5:10" ht="19.2" x14ac:dyDescent="0.3">
      <c r="E75" s="2" t="s">
        <v>73</v>
      </c>
      <c r="F75" s="2">
        <v>15.79</v>
      </c>
      <c r="G75" s="2">
        <v>3000</v>
      </c>
      <c r="H75" s="2">
        <v>3.95</v>
      </c>
      <c r="I75" s="2">
        <v>-9.25</v>
      </c>
      <c r="J75" s="4">
        <v>-97</v>
      </c>
    </row>
    <row r="76" spans="5:10" ht="19.2" x14ac:dyDescent="0.3">
      <c r="E76" s="2" t="s">
        <v>74</v>
      </c>
      <c r="F76" s="2">
        <v>15.8</v>
      </c>
      <c r="G76" s="2">
        <v>3000</v>
      </c>
      <c r="H76" s="2">
        <v>3.95</v>
      </c>
      <c r="I76" s="2">
        <v>-13.25</v>
      </c>
      <c r="J76" s="4">
        <v>-98</v>
      </c>
    </row>
    <row r="77" spans="5:10" ht="19.2" x14ac:dyDescent="0.3">
      <c r="E77" s="2" t="s">
        <v>75</v>
      </c>
      <c r="F77" s="2">
        <v>15.79</v>
      </c>
      <c r="G77" s="2">
        <v>3000</v>
      </c>
      <c r="H77" s="2">
        <v>3.95</v>
      </c>
      <c r="I77" s="2">
        <v>-14.5</v>
      </c>
      <c r="J77" s="4">
        <v>-99</v>
      </c>
    </row>
    <row r="78" spans="5:10" ht="19.2" x14ac:dyDescent="0.3">
      <c r="E78" s="2" t="s">
        <v>76</v>
      </c>
      <c r="F78" s="2">
        <v>15.78</v>
      </c>
      <c r="G78" s="2">
        <v>3000</v>
      </c>
      <c r="H78" s="2">
        <v>3.95</v>
      </c>
      <c r="I78" s="2">
        <v>-14</v>
      </c>
      <c r="J78" s="4">
        <v>-98</v>
      </c>
    </row>
    <row r="79" spans="5:10" ht="19.2" x14ac:dyDescent="0.3">
      <c r="E79" s="2" t="s">
        <v>77</v>
      </c>
      <c r="F79" s="2">
        <v>15.79</v>
      </c>
      <c r="G79" s="2">
        <v>3000</v>
      </c>
      <c r="H79" s="2">
        <v>3.95</v>
      </c>
      <c r="I79" s="2">
        <v>-20.75</v>
      </c>
      <c r="J79" s="4">
        <v>-99</v>
      </c>
    </row>
    <row r="80" spans="5:10" ht="19.2" x14ac:dyDescent="0.3">
      <c r="E80" s="2" t="s">
        <v>78</v>
      </c>
      <c r="F80" s="2">
        <v>15.8</v>
      </c>
      <c r="G80" s="2">
        <v>3000</v>
      </c>
      <c r="H80" s="2">
        <v>3.95</v>
      </c>
      <c r="I80" s="2">
        <v>-11</v>
      </c>
      <c r="J80" s="4">
        <v>-99</v>
      </c>
    </row>
    <row r="81" spans="5:10" ht="19.2" x14ac:dyDescent="0.3">
      <c r="E81" s="2" t="s">
        <v>79</v>
      </c>
      <c r="F81" s="2">
        <v>15.79</v>
      </c>
      <c r="G81" s="2">
        <v>3000</v>
      </c>
      <c r="H81" s="2">
        <v>3.95</v>
      </c>
      <c r="I81" s="2">
        <v>-9.25</v>
      </c>
      <c r="J81" s="4">
        <v>-97</v>
      </c>
    </row>
    <row r="82" spans="5:10" ht="19.2" x14ac:dyDescent="0.3">
      <c r="E82" s="2" t="s">
        <v>80</v>
      </c>
      <c r="F82" s="2">
        <v>15.79</v>
      </c>
      <c r="G82" s="2">
        <v>3000</v>
      </c>
      <c r="H82" s="2">
        <v>3.93</v>
      </c>
      <c r="I82" s="2">
        <v>-13.25</v>
      </c>
      <c r="J82" s="4">
        <v>-98</v>
      </c>
    </row>
    <row r="83" spans="5:10" ht="19.2" x14ac:dyDescent="0.3">
      <c r="E83" s="2" t="s">
        <v>81</v>
      </c>
      <c r="F83" s="2">
        <v>15.78</v>
      </c>
      <c r="G83" s="2">
        <v>3000</v>
      </c>
      <c r="H83" s="2">
        <v>3.95</v>
      </c>
      <c r="I83" s="2">
        <v>-9.75</v>
      </c>
      <c r="J83" s="4">
        <v>-97</v>
      </c>
    </row>
    <row r="84" spans="5:10" ht="19.2" x14ac:dyDescent="0.3">
      <c r="E84" s="2" t="s">
        <v>82</v>
      </c>
      <c r="F84" s="2">
        <v>15.79</v>
      </c>
      <c r="G84" s="2">
        <v>3000</v>
      </c>
      <c r="H84" s="2">
        <v>3.95</v>
      </c>
      <c r="I84" s="2">
        <v>-7.5</v>
      </c>
      <c r="J84" s="4">
        <v>-100</v>
      </c>
    </row>
    <row r="85" spans="5:10" ht="19.2" x14ac:dyDescent="0.3">
      <c r="E85" s="2" t="s">
        <v>83</v>
      </c>
      <c r="F85" s="2">
        <v>15.78</v>
      </c>
      <c r="G85" s="2">
        <v>3000</v>
      </c>
      <c r="H85" s="2">
        <v>3.95</v>
      </c>
      <c r="I85" s="2">
        <v>-9.25</v>
      </c>
      <c r="J85" s="4">
        <v>-100</v>
      </c>
    </row>
    <row r="86" spans="5:10" ht="19.2" x14ac:dyDescent="0.3">
      <c r="E86" s="2" t="s">
        <v>84</v>
      </c>
      <c r="F86" s="2">
        <v>15.79</v>
      </c>
      <c r="G86" s="2">
        <v>3000</v>
      </c>
      <c r="H86" s="2">
        <v>3.95</v>
      </c>
      <c r="I86" s="2">
        <v>-12</v>
      </c>
      <c r="J86" s="4">
        <v>-101</v>
      </c>
    </row>
    <row r="87" spans="5:10" ht="19.2" x14ac:dyDescent="0.3">
      <c r="E87" s="2" t="s">
        <v>85</v>
      </c>
      <c r="F87" s="2">
        <v>15.8</v>
      </c>
      <c r="G87" s="2">
        <v>3000</v>
      </c>
      <c r="H87" s="2">
        <v>3.95</v>
      </c>
      <c r="I87" s="2">
        <v>-13</v>
      </c>
      <c r="J87" s="4">
        <v>-100</v>
      </c>
    </row>
    <row r="88" spans="5:10" ht="19.2" x14ac:dyDescent="0.3">
      <c r="E88" s="2" t="s">
        <v>86</v>
      </c>
      <c r="F88" s="2">
        <v>15.79</v>
      </c>
      <c r="G88" s="2">
        <v>3000</v>
      </c>
      <c r="H88" s="2">
        <v>3.95</v>
      </c>
      <c r="I88" s="2">
        <v>-19</v>
      </c>
      <c r="J88" s="4">
        <v>-101</v>
      </c>
    </row>
    <row r="89" spans="5:10" ht="19.2" x14ac:dyDescent="0.3">
      <c r="E89" s="2" t="s">
        <v>87</v>
      </c>
      <c r="F89" s="2">
        <v>15.78</v>
      </c>
      <c r="G89" s="2">
        <v>3000</v>
      </c>
      <c r="H89" s="2">
        <v>3.95</v>
      </c>
      <c r="I89" s="2">
        <v>-7.5</v>
      </c>
      <c r="J89" s="4">
        <v>-101</v>
      </c>
    </row>
    <row r="90" spans="5:10" ht="19.2" x14ac:dyDescent="0.3">
      <c r="E90" s="2" t="s">
        <v>88</v>
      </c>
      <c r="F90" s="2">
        <v>15.8</v>
      </c>
      <c r="G90" s="2">
        <v>3000</v>
      </c>
      <c r="H90" s="2">
        <v>3.93</v>
      </c>
      <c r="I90" s="2">
        <v>-14.5</v>
      </c>
      <c r="J90" s="4">
        <v>-101</v>
      </c>
    </row>
    <row r="91" spans="5:10" ht="19.2" x14ac:dyDescent="0.3">
      <c r="E91" s="2" t="s">
        <v>89</v>
      </c>
      <c r="F91" s="2">
        <v>15.78</v>
      </c>
      <c r="G91" s="2">
        <v>3000</v>
      </c>
      <c r="H91" s="2">
        <v>3.95</v>
      </c>
      <c r="I91" s="2">
        <v>-16.25</v>
      </c>
      <c r="J91" s="4">
        <v>-100</v>
      </c>
    </row>
    <row r="92" spans="5:10" ht="19.2" x14ac:dyDescent="0.3">
      <c r="E92" s="2" t="s">
        <v>90</v>
      </c>
      <c r="F92" s="2"/>
      <c r="G92" s="2"/>
      <c r="H92" s="2"/>
      <c r="I92" s="2"/>
      <c r="J92" s="4"/>
    </row>
    <row r="93" spans="5:10" ht="19.2" x14ac:dyDescent="0.3">
      <c r="E93" s="2" t="s">
        <v>91</v>
      </c>
      <c r="F93" s="2">
        <v>15.77</v>
      </c>
      <c r="G93" s="2">
        <v>3000</v>
      </c>
      <c r="H93" s="2">
        <v>3.95</v>
      </c>
      <c r="I93" s="2">
        <v>-13.5</v>
      </c>
      <c r="J93" s="4">
        <v>-101</v>
      </c>
    </row>
    <row r="94" spans="5:10" ht="19.2" x14ac:dyDescent="0.3">
      <c r="E94" s="2" t="s">
        <v>92</v>
      </c>
      <c r="F94" s="2">
        <v>15.79</v>
      </c>
      <c r="G94" s="2">
        <v>3000</v>
      </c>
      <c r="H94" s="2">
        <v>3.95</v>
      </c>
      <c r="I94" s="2">
        <v>-10.25</v>
      </c>
      <c r="J94" s="4">
        <v>-100</v>
      </c>
    </row>
    <row r="95" spans="5:10" ht="19.2" x14ac:dyDescent="0.3">
      <c r="E95" s="2" t="s">
        <v>93</v>
      </c>
      <c r="F95" s="2">
        <v>15.8</v>
      </c>
      <c r="G95" s="2">
        <v>3000</v>
      </c>
      <c r="H95" s="2">
        <v>3.95</v>
      </c>
      <c r="I95" s="2">
        <v>-5</v>
      </c>
      <c r="J95" s="4">
        <v>-99</v>
      </c>
    </row>
    <row r="96" spans="5:10" ht="19.2" x14ac:dyDescent="0.3">
      <c r="E96" s="2" t="s">
        <v>94</v>
      </c>
      <c r="F96" s="2">
        <v>15.81</v>
      </c>
      <c r="G96" s="2">
        <v>3000</v>
      </c>
      <c r="H96" s="2">
        <v>3.97</v>
      </c>
      <c r="I96" s="2">
        <v>-4.5</v>
      </c>
      <c r="J96" s="4">
        <v>-98</v>
      </c>
    </row>
    <row r="97" spans="5:10" ht="19.2" x14ac:dyDescent="0.3">
      <c r="E97" s="2" t="s">
        <v>95</v>
      </c>
      <c r="F97" s="2">
        <v>15.8</v>
      </c>
      <c r="G97" s="2">
        <v>3000</v>
      </c>
      <c r="H97" s="2">
        <v>3.97</v>
      </c>
      <c r="I97" s="2">
        <v>-2.5</v>
      </c>
      <c r="J97" s="4">
        <v>-97</v>
      </c>
    </row>
    <row r="98" spans="5:10" ht="19.2" x14ac:dyDescent="0.3">
      <c r="E98" s="2" t="s">
        <v>96</v>
      </c>
      <c r="F98" s="2">
        <v>15.8</v>
      </c>
      <c r="G98" s="2">
        <v>3000</v>
      </c>
      <c r="H98" s="2">
        <v>3.95</v>
      </c>
      <c r="I98" s="2">
        <v>-1.75</v>
      </c>
      <c r="J98" s="4">
        <v>-97</v>
      </c>
    </row>
    <row r="99" spans="5:10" ht="19.2" x14ac:dyDescent="0.3">
      <c r="E99" s="2" t="s">
        <v>97</v>
      </c>
      <c r="F99" s="2">
        <v>15.78</v>
      </c>
      <c r="G99" s="2">
        <v>3000</v>
      </c>
      <c r="H99" s="2">
        <v>3.95</v>
      </c>
      <c r="I99" s="2">
        <v>-6</v>
      </c>
      <c r="J99" s="4">
        <v>-99</v>
      </c>
    </row>
    <row r="100" spans="5:10" ht="19.2" x14ac:dyDescent="0.3">
      <c r="E100" s="2" t="s">
        <v>98</v>
      </c>
      <c r="F100" s="2">
        <v>15.78</v>
      </c>
      <c r="G100" s="2">
        <v>3000</v>
      </c>
      <c r="H100" s="2">
        <v>3.95</v>
      </c>
      <c r="I100" s="2">
        <v>-8.5</v>
      </c>
      <c r="J100" s="4">
        <v>-100</v>
      </c>
    </row>
    <row r="101" spans="5:10" ht="19.2" x14ac:dyDescent="0.3">
      <c r="E101" s="2" t="s">
        <v>100</v>
      </c>
      <c r="F101" s="2">
        <v>15.78</v>
      </c>
      <c r="G101" s="2">
        <v>3000</v>
      </c>
      <c r="H101" s="2">
        <v>3.97</v>
      </c>
      <c r="I101" s="2">
        <v>-4.75</v>
      </c>
      <c r="J101" s="4">
        <v>-99</v>
      </c>
    </row>
    <row r="102" spans="5:10" ht="19.2" x14ac:dyDescent="0.3">
      <c r="E102" s="2" t="s">
        <v>101</v>
      </c>
      <c r="F102" s="2">
        <v>15.79</v>
      </c>
      <c r="G102" s="2">
        <v>3000</v>
      </c>
      <c r="H102" s="2">
        <v>3.97</v>
      </c>
      <c r="I102" s="2">
        <v>-9.5</v>
      </c>
      <c r="J102" s="4">
        <v>-99</v>
      </c>
    </row>
    <row r="103" spans="5:10" ht="19.2" x14ac:dyDescent="0.3">
      <c r="E103" s="2" t="s">
        <v>102</v>
      </c>
      <c r="F103" s="2">
        <v>15.8</v>
      </c>
      <c r="G103" s="2">
        <v>3000</v>
      </c>
      <c r="H103" s="2">
        <v>3.97</v>
      </c>
      <c r="I103" s="2">
        <v>-12</v>
      </c>
      <c r="J103" s="4">
        <v>-100</v>
      </c>
    </row>
    <row r="104" spans="5:10" ht="19.2" x14ac:dyDescent="0.3">
      <c r="E104" s="2" t="s">
        <v>103</v>
      </c>
      <c r="F104" s="2">
        <v>15.78</v>
      </c>
      <c r="G104" s="2">
        <v>3000</v>
      </c>
      <c r="H104" s="2">
        <v>3.97</v>
      </c>
      <c r="I104" s="2">
        <v>-9</v>
      </c>
      <c r="J104" s="4">
        <v>-99</v>
      </c>
    </row>
  </sheetData>
  <mergeCells count="1">
    <mergeCell ref="E3:J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C338-EAC7-4429-9EA6-F9BC7CEA53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BF4-92F5-4D37-8418-ECCE7FB8C9B5}">
  <dimension ref="E3:K104"/>
  <sheetViews>
    <sheetView topLeftCell="C1" zoomScale="85" workbookViewId="0">
      <selection activeCell="E3" sqref="E3:J3"/>
    </sheetView>
  </sheetViews>
  <sheetFormatPr defaultRowHeight="14.4" x14ac:dyDescent="0.3"/>
  <cols>
    <col min="6" max="6" width="16.88671875" customWidth="1"/>
    <col min="7" max="7" width="15.109375" customWidth="1"/>
    <col min="8" max="8" width="15.33203125" customWidth="1"/>
    <col min="9" max="9" width="17.6640625" customWidth="1"/>
    <col min="10" max="10" width="18.77734375" customWidth="1"/>
    <col min="11" max="11" width="22.6640625" customWidth="1"/>
  </cols>
  <sheetData>
    <row r="3" spans="5:11" ht="38.4" x14ac:dyDescent="0.3">
      <c r="E3" s="19" t="s">
        <v>1</v>
      </c>
      <c r="F3" s="20"/>
      <c r="G3" s="20"/>
      <c r="H3" s="20"/>
      <c r="I3" s="20"/>
      <c r="J3" s="20"/>
    </row>
    <row r="4" spans="5:11" ht="46.8" x14ac:dyDescent="0.3">
      <c r="E4" s="1" t="s">
        <v>2</v>
      </c>
      <c r="F4" s="1" t="s">
        <v>0</v>
      </c>
      <c r="G4" s="1" t="s">
        <v>99</v>
      </c>
      <c r="H4" s="3" t="s">
        <v>107</v>
      </c>
      <c r="I4" s="1" t="s">
        <v>108</v>
      </c>
      <c r="J4" s="1" t="s">
        <v>111</v>
      </c>
      <c r="K4" s="7" t="s">
        <v>114</v>
      </c>
    </row>
    <row r="5" spans="5:11" ht="19.2" x14ac:dyDescent="0.3">
      <c r="E5" s="2" t="s">
        <v>3</v>
      </c>
      <c r="F5" s="2">
        <v>15.72</v>
      </c>
      <c r="G5" s="2">
        <v>3000</v>
      </c>
      <c r="H5" s="2">
        <v>4.08</v>
      </c>
      <c r="I5" s="2">
        <v>-17</v>
      </c>
      <c r="J5" s="4">
        <v>-100</v>
      </c>
    </row>
    <row r="6" spans="5:11" ht="19.2" x14ac:dyDescent="0.3">
      <c r="E6" s="2" t="s">
        <v>4</v>
      </c>
      <c r="F6" s="2">
        <v>15.67</v>
      </c>
      <c r="G6" s="2">
        <v>3000</v>
      </c>
      <c r="H6" s="2">
        <v>4.1399999999999997</v>
      </c>
      <c r="I6" s="2">
        <v>-17.25</v>
      </c>
      <c r="J6" s="4">
        <v>-101</v>
      </c>
    </row>
    <row r="7" spans="5:11" ht="19.2" x14ac:dyDescent="0.3">
      <c r="E7" s="2" t="s">
        <v>5</v>
      </c>
      <c r="F7" s="2">
        <v>15.69</v>
      </c>
      <c r="G7" s="2">
        <v>3000</v>
      </c>
      <c r="H7" s="2">
        <v>4.1399999999999997</v>
      </c>
      <c r="I7" s="2">
        <v>-19.25</v>
      </c>
      <c r="J7" s="4">
        <v>-101</v>
      </c>
    </row>
    <row r="8" spans="5:11" ht="19.2" x14ac:dyDescent="0.3">
      <c r="E8" s="2" t="s">
        <v>6</v>
      </c>
      <c r="F8" s="2">
        <v>15.64</v>
      </c>
      <c r="G8" s="2">
        <v>3000</v>
      </c>
      <c r="H8" s="2">
        <v>4.0999999999999996</v>
      </c>
      <c r="I8" s="2">
        <v>-14.5</v>
      </c>
      <c r="J8" s="4">
        <v>-101</v>
      </c>
    </row>
    <row r="9" spans="5:11" ht="19.2" x14ac:dyDescent="0.3">
      <c r="E9" s="2" t="s">
        <v>7</v>
      </c>
      <c r="F9" s="2">
        <v>15.62</v>
      </c>
      <c r="G9" s="2">
        <v>3000</v>
      </c>
      <c r="H9" s="2">
        <v>4.04</v>
      </c>
      <c r="I9" s="2">
        <v>-17.25</v>
      </c>
      <c r="J9" s="4">
        <v>-101</v>
      </c>
    </row>
    <row r="10" spans="5:11" ht="19.2" x14ac:dyDescent="0.3">
      <c r="E10" s="2" t="s">
        <v>8</v>
      </c>
      <c r="F10" s="2">
        <v>15.61</v>
      </c>
      <c r="G10" s="2">
        <v>3000</v>
      </c>
      <c r="H10" s="2">
        <v>4.0199999999999996</v>
      </c>
      <c r="I10" s="2">
        <v>-15.75</v>
      </c>
      <c r="J10" s="4">
        <v>-101</v>
      </c>
    </row>
    <row r="11" spans="5:11" ht="19.2" x14ac:dyDescent="0.3">
      <c r="E11" s="2" t="s">
        <v>9</v>
      </c>
      <c r="F11" s="2"/>
      <c r="G11" s="2"/>
      <c r="H11" s="2"/>
      <c r="I11" s="2"/>
      <c r="J11" s="4"/>
    </row>
    <row r="12" spans="5:11" ht="19.2" x14ac:dyDescent="0.3">
      <c r="E12" s="2" t="s">
        <v>10</v>
      </c>
      <c r="F12" s="2"/>
      <c r="G12" s="2"/>
      <c r="H12" s="2"/>
      <c r="I12" s="2"/>
      <c r="J12" s="4"/>
    </row>
    <row r="13" spans="5:11" ht="19.2" x14ac:dyDescent="0.3">
      <c r="E13" s="2" t="s">
        <v>11</v>
      </c>
      <c r="F13" s="2">
        <v>15.6</v>
      </c>
      <c r="G13" s="2">
        <v>3000</v>
      </c>
      <c r="H13" s="2">
        <v>3.95</v>
      </c>
      <c r="I13" s="2">
        <v>-22</v>
      </c>
      <c r="J13" s="4">
        <v>-102</v>
      </c>
    </row>
    <row r="14" spans="5:11" ht="19.2" x14ac:dyDescent="0.3">
      <c r="E14" s="2" t="s">
        <v>12</v>
      </c>
      <c r="F14" s="2"/>
      <c r="G14" s="2"/>
      <c r="H14" s="2"/>
      <c r="I14" s="2"/>
      <c r="J14" s="4"/>
    </row>
    <row r="15" spans="5:11" ht="19.2" x14ac:dyDescent="0.3">
      <c r="E15" s="2" t="s">
        <v>13</v>
      </c>
      <c r="F15" s="2">
        <v>15.59</v>
      </c>
      <c r="G15" s="2">
        <v>3000</v>
      </c>
      <c r="H15" s="2">
        <v>3.93</v>
      </c>
      <c r="I15" s="2">
        <v>-20</v>
      </c>
      <c r="J15" s="4">
        <v>-99</v>
      </c>
    </row>
    <row r="16" spans="5:11" ht="19.2" x14ac:dyDescent="0.3">
      <c r="E16" s="2" t="s">
        <v>14</v>
      </c>
      <c r="F16" s="2"/>
      <c r="G16" s="2"/>
      <c r="H16" s="2"/>
      <c r="I16" s="2"/>
      <c r="J16" s="4"/>
    </row>
    <row r="17" spans="5:10" ht="19.2" x14ac:dyDescent="0.3">
      <c r="E17" s="2" t="s">
        <v>15</v>
      </c>
      <c r="F17" s="2"/>
      <c r="G17" s="2"/>
      <c r="H17" s="2"/>
      <c r="I17" s="2"/>
      <c r="J17" s="4"/>
    </row>
    <row r="18" spans="5:10" ht="19.2" x14ac:dyDescent="0.3">
      <c r="E18" s="2" t="s">
        <v>16</v>
      </c>
      <c r="F18" s="2">
        <v>15.55</v>
      </c>
      <c r="G18" s="2">
        <v>3000</v>
      </c>
      <c r="H18" s="2">
        <v>3.93</v>
      </c>
      <c r="I18" s="2">
        <v>-19.5</v>
      </c>
      <c r="J18" s="4">
        <v>-100</v>
      </c>
    </row>
    <row r="19" spans="5:10" ht="19.2" x14ac:dyDescent="0.3">
      <c r="E19" s="2" t="s">
        <v>17</v>
      </c>
      <c r="F19" s="2">
        <v>15.55</v>
      </c>
      <c r="G19" s="2">
        <v>3000</v>
      </c>
      <c r="H19" s="2">
        <v>3.93</v>
      </c>
      <c r="I19" s="2">
        <v>-17.75</v>
      </c>
      <c r="J19" s="4">
        <v>-101</v>
      </c>
    </row>
    <row r="20" spans="5:10" ht="19.2" x14ac:dyDescent="0.3">
      <c r="E20" s="2" t="s">
        <v>18</v>
      </c>
      <c r="F20" s="2">
        <v>15.54</v>
      </c>
      <c r="G20" s="2">
        <v>3000</v>
      </c>
      <c r="H20" s="2">
        <v>3.93</v>
      </c>
      <c r="I20" s="2">
        <v>-19.5</v>
      </c>
      <c r="J20" s="4">
        <v>-101</v>
      </c>
    </row>
    <row r="21" spans="5:10" ht="19.2" x14ac:dyDescent="0.3">
      <c r="E21" s="2" t="s">
        <v>19</v>
      </c>
      <c r="F21" s="2">
        <v>15.56</v>
      </c>
      <c r="G21" s="2">
        <v>3000</v>
      </c>
      <c r="H21" s="2">
        <v>3.95</v>
      </c>
      <c r="I21" s="2">
        <v>-15.75</v>
      </c>
      <c r="J21" s="4">
        <v>-101</v>
      </c>
    </row>
    <row r="22" spans="5:10" ht="19.2" x14ac:dyDescent="0.3">
      <c r="E22" s="2" t="s">
        <v>20</v>
      </c>
      <c r="F22" s="2">
        <v>15.53</v>
      </c>
      <c r="G22" s="2">
        <v>3000</v>
      </c>
      <c r="H22" s="2">
        <v>3.93</v>
      </c>
      <c r="I22" s="2">
        <v>-17.5</v>
      </c>
      <c r="J22" s="4">
        <v>-100</v>
      </c>
    </row>
    <row r="23" spans="5:10" ht="19.2" x14ac:dyDescent="0.3">
      <c r="E23" s="2" t="s">
        <v>21</v>
      </c>
      <c r="F23" s="2"/>
      <c r="G23" s="2"/>
      <c r="H23" s="2"/>
      <c r="I23" s="2"/>
      <c r="J23" s="4"/>
    </row>
    <row r="24" spans="5:10" ht="19.2" x14ac:dyDescent="0.3">
      <c r="E24" s="2" t="s">
        <v>22</v>
      </c>
      <c r="F24" s="2"/>
      <c r="G24" s="2"/>
      <c r="H24" s="2"/>
      <c r="I24" s="2"/>
      <c r="J24" s="4"/>
    </row>
    <row r="25" spans="5:10" ht="19.2" x14ac:dyDescent="0.3">
      <c r="E25" s="2" t="s">
        <v>23</v>
      </c>
      <c r="F25" s="2">
        <v>15.52</v>
      </c>
      <c r="G25" s="2">
        <v>3000</v>
      </c>
      <c r="H25" s="2">
        <v>3.95</v>
      </c>
      <c r="I25" s="2">
        <v>-16.25</v>
      </c>
      <c r="J25" s="4">
        <v>-101</v>
      </c>
    </row>
    <row r="26" spans="5:10" ht="19.2" x14ac:dyDescent="0.3">
      <c r="E26" s="2" t="s">
        <v>24</v>
      </c>
      <c r="F26" s="2">
        <v>15.54</v>
      </c>
      <c r="G26" s="2">
        <v>3000</v>
      </c>
      <c r="H26" s="2">
        <v>3.95</v>
      </c>
      <c r="I26" s="2">
        <v>-21.75</v>
      </c>
      <c r="J26" s="4">
        <v>-101</v>
      </c>
    </row>
    <row r="27" spans="5:10" ht="19.2" x14ac:dyDescent="0.3">
      <c r="E27" s="2" t="s">
        <v>25</v>
      </c>
      <c r="F27" s="2"/>
      <c r="G27" s="2"/>
      <c r="H27" s="2"/>
      <c r="I27" s="2"/>
      <c r="J27" s="4"/>
    </row>
    <row r="28" spans="5:10" ht="19.2" x14ac:dyDescent="0.3">
      <c r="E28" s="2" t="s">
        <v>26</v>
      </c>
      <c r="F28" s="2">
        <v>15.54</v>
      </c>
      <c r="G28" s="2">
        <v>3000</v>
      </c>
      <c r="H28" s="2">
        <v>3.95</v>
      </c>
      <c r="I28" s="2">
        <v>-16.75</v>
      </c>
      <c r="J28" s="4">
        <v>-100</v>
      </c>
    </row>
    <row r="29" spans="5:10" ht="19.2" x14ac:dyDescent="0.3">
      <c r="E29" s="2" t="s">
        <v>27</v>
      </c>
      <c r="F29" s="2">
        <v>15.55</v>
      </c>
      <c r="G29" s="2">
        <v>3000</v>
      </c>
      <c r="H29" s="2">
        <v>3.95</v>
      </c>
      <c r="I29" s="2">
        <v>-17.5</v>
      </c>
      <c r="J29" s="4">
        <v>-101</v>
      </c>
    </row>
    <row r="30" spans="5:10" ht="19.2" x14ac:dyDescent="0.3">
      <c r="E30" s="2" t="s">
        <v>28</v>
      </c>
      <c r="F30" s="2">
        <v>15.53</v>
      </c>
      <c r="G30" s="2">
        <v>3000</v>
      </c>
      <c r="H30" s="2">
        <v>3.95</v>
      </c>
      <c r="I30" s="2">
        <v>-16.75</v>
      </c>
      <c r="J30" s="4">
        <v>-101</v>
      </c>
    </row>
    <row r="31" spans="5:10" ht="19.2" x14ac:dyDescent="0.3">
      <c r="E31" s="2" t="s">
        <v>29</v>
      </c>
      <c r="F31" s="2"/>
      <c r="G31" s="2"/>
      <c r="H31" s="2"/>
      <c r="I31" s="2"/>
      <c r="J31" s="4"/>
    </row>
    <row r="32" spans="5:10" ht="19.2" x14ac:dyDescent="0.3">
      <c r="E32" s="2" t="s">
        <v>30</v>
      </c>
      <c r="F32" s="2">
        <v>15.54</v>
      </c>
      <c r="G32" s="2">
        <v>3000</v>
      </c>
      <c r="H32" s="2">
        <v>3.95</v>
      </c>
      <c r="I32" s="2">
        <v>-18</v>
      </c>
      <c r="J32" s="4">
        <v>-101</v>
      </c>
    </row>
    <row r="33" spans="5:10" ht="19.2" x14ac:dyDescent="0.3">
      <c r="E33" s="2" t="s">
        <v>31</v>
      </c>
      <c r="F33" s="2"/>
      <c r="G33" s="2"/>
      <c r="H33" s="2"/>
      <c r="I33" s="2"/>
      <c r="J33" s="4"/>
    </row>
    <row r="34" spans="5:10" ht="19.2" x14ac:dyDescent="0.3">
      <c r="E34" s="2" t="s">
        <v>32</v>
      </c>
      <c r="F34" s="2"/>
      <c r="G34" s="2"/>
      <c r="H34" s="2"/>
      <c r="I34" s="2"/>
      <c r="J34" s="4"/>
    </row>
    <row r="35" spans="5:10" ht="19.2" x14ac:dyDescent="0.3">
      <c r="E35" s="2" t="s">
        <v>33</v>
      </c>
      <c r="F35" s="2"/>
      <c r="G35" s="2"/>
      <c r="H35" s="2"/>
      <c r="I35" s="2"/>
      <c r="J35" s="4"/>
    </row>
    <row r="36" spans="5:10" ht="19.2" x14ac:dyDescent="0.3">
      <c r="E36" s="2" t="s">
        <v>34</v>
      </c>
      <c r="F36" s="2"/>
      <c r="G36" s="2"/>
      <c r="H36" s="2"/>
      <c r="I36" s="2"/>
      <c r="J36" s="4"/>
    </row>
    <row r="37" spans="5:10" ht="19.2" x14ac:dyDescent="0.3">
      <c r="E37" s="2" t="s">
        <v>35</v>
      </c>
      <c r="F37" s="2"/>
      <c r="G37" s="2"/>
      <c r="H37" s="2"/>
      <c r="I37" s="2"/>
      <c r="J37" s="4"/>
    </row>
    <row r="38" spans="5:10" ht="19.2" x14ac:dyDescent="0.3">
      <c r="E38" s="2" t="s">
        <v>36</v>
      </c>
      <c r="F38" s="2"/>
      <c r="G38" s="2"/>
      <c r="H38" s="2"/>
      <c r="I38" s="2"/>
      <c r="J38" s="4"/>
    </row>
    <row r="39" spans="5:10" ht="19.2" x14ac:dyDescent="0.3">
      <c r="E39" s="2" t="s">
        <v>37</v>
      </c>
      <c r="F39" s="2"/>
      <c r="G39" s="2"/>
      <c r="H39" s="2"/>
      <c r="I39" s="2"/>
      <c r="J39" s="4"/>
    </row>
    <row r="40" spans="5:10" ht="19.2" x14ac:dyDescent="0.3">
      <c r="E40" s="2" t="s">
        <v>38</v>
      </c>
      <c r="F40" s="2"/>
      <c r="G40" s="2"/>
      <c r="H40" s="2"/>
      <c r="I40" s="2"/>
      <c r="J40" s="4"/>
    </row>
    <row r="41" spans="5:10" ht="19.2" x14ac:dyDescent="0.3">
      <c r="E41" s="2" t="s">
        <v>39</v>
      </c>
      <c r="F41" s="2"/>
      <c r="G41" s="2"/>
      <c r="H41" s="2"/>
      <c r="I41" s="2"/>
      <c r="J41" s="4"/>
    </row>
    <row r="42" spans="5:10" ht="19.2" x14ac:dyDescent="0.3">
      <c r="E42" s="2" t="s">
        <v>40</v>
      </c>
      <c r="F42" s="2"/>
      <c r="G42" s="2"/>
      <c r="H42" s="2"/>
      <c r="I42" s="2"/>
      <c r="J42" s="4"/>
    </row>
    <row r="43" spans="5:10" ht="19.2" x14ac:dyDescent="0.3">
      <c r="E43" s="2" t="s">
        <v>41</v>
      </c>
      <c r="F43" s="2"/>
      <c r="G43" s="2"/>
      <c r="H43" s="2"/>
      <c r="I43" s="2"/>
      <c r="J43" s="4"/>
    </row>
    <row r="44" spans="5:10" ht="19.2" x14ac:dyDescent="0.3">
      <c r="E44" s="2" t="s">
        <v>42</v>
      </c>
      <c r="F44" s="2"/>
      <c r="G44" s="2"/>
      <c r="H44" s="2"/>
      <c r="I44" s="2"/>
      <c r="J44" s="4"/>
    </row>
    <row r="45" spans="5:10" ht="19.2" x14ac:dyDescent="0.3">
      <c r="E45" s="2" t="s">
        <v>43</v>
      </c>
      <c r="F45" s="2"/>
      <c r="G45" s="2"/>
      <c r="H45" s="2"/>
      <c r="I45" s="2"/>
      <c r="J45" s="4"/>
    </row>
    <row r="46" spans="5:10" ht="19.2" x14ac:dyDescent="0.3">
      <c r="E46" s="2" t="s">
        <v>44</v>
      </c>
      <c r="F46" s="2"/>
      <c r="G46" s="2"/>
      <c r="H46" s="2"/>
      <c r="I46" s="2"/>
      <c r="J46" s="4"/>
    </row>
    <row r="47" spans="5:10" ht="19.2" x14ac:dyDescent="0.3">
      <c r="E47" s="2" t="s">
        <v>45</v>
      </c>
      <c r="F47" s="2">
        <v>15.58</v>
      </c>
      <c r="G47" s="2">
        <v>3000</v>
      </c>
      <c r="H47" s="2">
        <v>3.97</v>
      </c>
      <c r="I47" s="2">
        <v>-21.75</v>
      </c>
      <c r="J47" s="4">
        <v>-100</v>
      </c>
    </row>
    <row r="48" spans="5:10" ht="19.2" x14ac:dyDescent="0.3">
      <c r="E48" s="2" t="s">
        <v>46</v>
      </c>
      <c r="F48" s="2"/>
      <c r="G48" s="2"/>
      <c r="H48" s="2"/>
      <c r="I48" s="2"/>
      <c r="J48" s="4"/>
    </row>
    <row r="49" spans="5:10" ht="19.2" x14ac:dyDescent="0.3">
      <c r="E49" s="2" t="s">
        <v>47</v>
      </c>
      <c r="F49" s="2"/>
      <c r="G49" s="2"/>
      <c r="H49" s="2"/>
      <c r="I49" s="2"/>
      <c r="J49" s="4"/>
    </row>
    <row r="50" spans="5:10" ht="19.2" x14ac:dyDescent="0.3">
      <c r="E50" s="2" t="s">
        <v>48</v>
      </c>
      <c r="F50" s="2"/>
      <c r="G50" s="2"/>
      <c r="H50" s="2"/>
      <c r="I50" s="2"/>
      <c r="J50" s="4"/>
    </row>
    <row r="51" spans="5:10" ht="19.2" x14ac:dyDescent="0.3">
      <c r="E51" s="2" t="s">
        <v>49</v>
      </c>
      <c r="F51" s="2"/>
      <c r="G51" s="2"/>
      <c r="H51" s="2"/>
      <c r="I51" s="2"/>
      <c r="J51" s="4"/>
    </row>
    <row r="52" spans="5:10" ht="19.2" x14ac:dyDescent="0.3">
      <c r="E52" s="2" t="s">
        <v>50</v>
      </c>
      <c r="F52" s="2"/>
      <c r="G52" s="2"/>
      <c r="H52" s="2"/>
      <c r="I52" s="2"/>
      <c r="J52" s="4"/>
    </row>
    <row r="53" spans="5:10" ht="19.2" x14ac:dyDescent="0.3">
      <c r="E53" s="2" t="s">
        <v>51</v>
      </c>
      <c r="F53" s="2"/>
      <c r="G53" s="2"/>
      <c r="H53" s="2"/>
      <c r="I53" s="2"/>
      <c r="J53" s="4"/>
    </row>
    <row r="54" spans="5:10" ht="19.2" x14ac:dyDescent="0.3">
      <c r="E54" s="2" t="s">
        <v>52</v>
      </c>
      <c r="F54" s="2"/>
      <c r="G54" s="2"/>
      <c r="H54" s="2"/>
      <c r="I54" s="2"/>
      <c r="J54" s="4"/>
    </row>
    <row r="55" spans="5:10" ht="19.2" x14ac:dyDescent="0.3">
      <c r="E55" s="2" t="s">
        <v>53</v>
      </c>
      <c r="F55" s="2"/>
      <c r="G55" s="2"/>
      <c r="H55" s="2"/>
      <c r="I55" s="2"/>
      <c r="J55" s="4"/>
    </row>
    <row r="56" spans="5:10" ht="19.2" x14ac:dyDescent="0.3">
      <c r="E56" s="2" t="s">
        <v>54</v>
      </c>
      <c r="F56" s="2"/>
      <c r="G56" s="2"/>
      <c r="H56" s="2"/>
      <c r="I56" s="2"/>
      <c r="J56" s="4"/>
    </row>
    <row r="57" spans="5:10" ht="19.2" x14ac:dyDescent="0.3">
      <c r="E57" s="2" t="s">
        <v>55</v>
      </c>
      <c r="F57" s="2"/>
      <c r="G57" s="2"/>
      <c r="H57" s="2"/>
      <c r="I57" s="2"/>
      <c r="J57" s="4"/>
    </row>
    <row r="58" spans="5:10" ht="19.2" x14ac:dyDescent="0.3">
      <c r="E58" s="2" t="s">
        <v>56</v>
      </c>
      <c r="F58" s="2"/>
      <c r="G58" s="2"/>
      <c r="H58" s="2"/>
      <c r="I58" s="2"/>
      <c r="J58" s="4"/>
    </row>
    <row r="59" spans="5:10" ht="19.2" x14ac:dyDescent="0.3">
      <c r="E59" s="2" t="s">
        <v>57</v>
      </c>
      <c r="F59" s="2"/>
      <c r="G59" s="2"/>
      <c r="H59" s="2"/>
      <c r="I59" s="2"/>
      <c r="J59" s="4"/>
    </row>
    <row r="60" spans="5:10" ht="19.2" x14ac:dyDescent="0.3">
      <c r="E60" s="2" t="s">
        <v>58</v>
      </c>
      <c r="F60" s="2">
        <v>15.55</v>
      </c>
      <c r="G60" s="2">
        <v>3000</v>
      </c>
      <c r="H60" s="2">
        <v>4.0199999999999996</v>
      </c>
      <c r="I60" s="2">
        <v>-16.5</v>
      </c>
      <c r="J60" s="4">
        <v>-100</v>
      </c>
    </row>
    <row r="61" spans="5:10" ht="19.2" x14ac:dyDescent="0.3">
      <c r="E61" s="2" t="s">
        <v>59</v>
      </c>
      <c r="F61" s="2">
        <v>15.57</v>
      </c>
      <c r="G61" s="2">
        <v>3000</v>
      </c>
      <c r="H61" s="2">
        <v>4</v>
      </c>
      <c r="I61" s="2">
        <v>-15</v>
      </c>
      <c r="J61" s="4">
        <v>-100</v>
      </c>
    </row>
    <row r="62" spans="5:10" ht="19.2" x14ac:dyDescent="0.3">
      <c r="E62" s="2" t="s">
        <v>60</v>
      </c>
      <c r="F62" s="2"/>
      <c r="G62" s="2"/>
      <c r="H62" s="2"/>
      <c r="I62" s="2"/>
      <c r="J62" s="4"/>
    </row>
    <row r="63" spans="5:10" ht="19.2" x14ac:dyDescent="0.3">
      <c r="E63" s="2" t="s">
        <v>61</v>
      </c>
      <c r="F63" s="2"/>
      <c r="G63" s="2"/>
      <c r="H63" s="2"/>
      <c r="I63" s="2"/>
      <c r="J63" s="4"/>
    </row>
    <row r="64" spans="5:10" ht="19.2" x14ac:dyDescent="0.3">
      <c r="E64" s="2" t="s">
        <v>62</v>
      </c>
      <c r="F64" s="2"/>
      <c r="G64" s="2"/>
      <c r="H64" s="2"/>
      <c r="I64" s="2"/>
      <c r="J64" s="4"/>
    </row>
    <row r="65" spans="5:10" ht="19.2" x14ac:dyDescent="0.3">
      <c r="E65" s="2" t="s">
        <v>63</v>
      </c>
      <c r="F65" s="2"/>
      <c r="G65" s="2"/>
      <c r="H65" s="2"/>
      <c r="I65" s="2"/>
      <c r="J65" s="4"/>
    </row>
    <row r="66" spans="5:10" ht="19.2" x14ac:dyDescent="0.3">
      <c r="E66" s="2" t="s">
        <v>64</v>
      </c>
      <c r="F66" s="2"/>
      <c r="G66" s="2"/>
      <c r="H66" s="2"/>
      <c r="I66" s="2"/>
      <c r="J66" s="4"/>
    </row>
    <row r="67" spans="5:10" ht="19.2" x14ac:dyDescent="0.3">
      <c r="E67" s="2" t="s">
        <v>65</v>
      </c>
      <c r="F67" s="2"/>
      <c r="G67" s="2"/>
      <c r="H67" s="2"/>
      <c r="I67" s="2"/>
      <c r="J67" s="4"/>
    </row>
    <row r="68" spans="5:10" ht="19.2" x14ac:dyDescent="0.3">
      <c r="E68" s="2" t="s">
        <v>66</v>
      </c>
      <c r="F68" s="2"/>
      <c r="G68" s="2"/>
      <c r="H68" s="2"/>
      <c r="I68" s="2"/>
      <c r="J68" s="4"/>
    </row>
    <row r="69" spans="5:10" ht="19.2" x14ac:dyDescent="0.3">
      <c r="E69" s="2" t="s">
        <v>67</v>
      </c>
      <c r="F69" s="2">
        <v>15.6</v>
      </c>
      <c r="G69" s="2">
        <v>3000</v>
      </c>
      <c r="H69" s="2">
        <v>4</v>
      </c>
      <c r="I69" s="2">
        <v>-20.25</v>
      </c>
      <c r="J69" s="4">
        <v>-101</v>
      </c>
    </row>
    <row r="70" spans="5:10" ht="19.2" x14ac:dyDescent="0.3">
      <c r="E70" s="2" t="s">
        <v>68</v>
      </c>
      <c r="F70" s="2"/>
      <c r="G70" s="2"/>
      <c r="H70" s="2"/>
      <c r="I70" s="2"/>
      <c r="J70" s="4"/>
    </row>
    <row r="71" spans="5:10" ht="19.2" x14ac:dyDescent="0.3">
      <c r="E71" s="2" t="s">
        <v>69</v>
      </c>
      <c r="F71" s="2"/>
      <c r="G71" s="2"/>
      <c r="H71" s="2"/>
      <c r="I71" s="2"/>
      <c r="J71" s="4"/>
    </row>
    <row r="72" spans="5:10" ht="19.2" x14ac:dyDescent="0.3">
      <c r="E72" s="2" t="s">
        <v>70</v>
      </c>
      <c r="F72" s="2"/>
      <c r="G72" s="2"/>
      <c r="H72" s="2"/>
      <c r="I72" s="2"/>
      <c r="J72" s="4"/>
    </row>
    <row r="73" spans="5:10" ht="19.2" x14ac:dyDescent="0.3">
      <c r="E73" s="2" t="s">
        <v>71</v>
      </c>
      <c r="F73" s="2"/>
      <c r="G73" s="2"/>
      <c r="H73" s="2"/>
      <c r="I73" s="2"/>
      <c r="J73" s="4"/>
    </row>
    <row r="74" spans="5:10" ht="19.2" x14ac:dyDescent="0.3">
      <c r="E74" s="2" t="s">
        <v>72</v>
      </c>
      <c r="F74" s="2"/>
      <c r="G74" s="2"/>
      <c r="H74" s="2"/>
      <c r="I74" s="2"/>
      <c r="J74" s="4"/>
    </row>
    <row r="75" spans="5:10" ht="19.2" x14ac:dyDescent="0.3">
      <c r="E75" s="2" t="s">
        <v>73</v>
      </c>
      <c r="F75" s="2"/>
      <c r="G75" s="2"/>
      <c r="H75" s="2"/>
      <c r="I75" s="2"/>
      <c r="J75" s="4"/>
    </row>
    <row r="76" spans="5:10" ht="19.2" x14ac:dyDescent="0.3">
      <c r="E76" s="2" t="s">
        <v>74</v>
      </c>
      <c r="F76" s="2"/>
      <c r="G76" s="2"/>
      <c r="H76" s="2"/>
      <c r="I76" s="2"/>
      <c r="J76" s="4"/>
    </row>
    <row r="77" spans="5:10" ht="19.2" x14ac:dyDescent="0.3">
      <c r="E77" s="2" t="s">
        <v>75</v>
      </c>
      <c r="F77" s="2"/>
      <c r="G77" s="2"/>
      <c r="H77" s="2"/>
      <c r="I77" s="2"/>
      <c r="J77" s="4"/>
    </row>
    <row r="78" spans="5:10" ht="19.2" x14ac:dyDescent="0.3">
      <c r="E78" s="2" t="s">
        <v>76</v>
      </c>
      <c r="F78" s="2"/>
      <c r="G78" s="2"/>
      <c r="H78" s="2"/>
      <c r="I78" s="2"/>
      <c r="J78" s="4"/>
    </row>
    <row r="79" spans="5:10" ht="19.2" x14ac:dyDescent="0.3">
      <c r="E79" s="2" t="s">
        <v>77</v>
      </c>
      <c r="F79" s="2"/>
      <c r="G79" s="2"/>
      <c r="H79" s="2"/>
      <c r="I79" s="2"/>
      <c r="J79" s="4"/>
    </row>
    <row r="80" spans="5:10" ht="19.2" x14ac:dyDescent="0.3">
      <c r="E80" s="2" t="s">
        <v>78</v>
      </c>
      <c r="F80" s="2"/>
      <c r="G80" s="2"/>
      <c r="H80" s="2"/>
      <c r="I80" s="2"/>
      <c r="J80" s="4"/>
    </row>
    <row r="81" spans="5:10" ht="19.2" x14ac:dyDescent="0.3">
      <c r="E81" s="2" t="s">
        <v>79</v>
      </c>
      <c r="F81" s="2"/>
      <c r="G81" s="2"/>
      <c r="H81" s="2"/>
      <c r="I81" s="2"/>
      <c r="J81" s="4"/>
    </row>
    <row r="82" spans="5:10" ht="19.2" x14ac:dyDescent="0.3">
      <c r="E82" s="2" t="s">
        <v>80</v>
      </c>
      <c r="F82" s="2"/>
      <c r="G82" s="2"/>
      <c r="H82" s="2"/>
      <c r="I82" s="2"/>
      <c r="J82" s="4"/>
    </row>
    <row r="83" spans="5:10" ht="19.2" x14ac:dyDescent="0.3">
      <c r="E83" s="2" t="s">
        <v>81</v>
      </c>
      <c r="F83" s="2"/>
      <c r="G83" s="2"/>
      <c r="H83" s="2"/>
      <c r="I83" s="2"/>
      <c r="J83" s="4"/>
    </row>
    <row r="84" spans="5:10" ht="19.2" x14ac:dyDescent="0.3">
      <c r="E84" s="2" t="s">
        <v>82</v>
      </c>
      <c r="F84" s="2"/>
      <c r="G84" s="2"/>
      <c r="H84" s="2"/>
      <c r="I84" s="2"/>
      <c r="J84" s="4"/>
    </row>
    <row r="85" spans="5:10" ht="19.2" x14ac:dyDescent="0.3">
      <c r="E85" s="2" t="s">
        <v>83</v>
      </c>
      <c r="F85" s="2"/>
      <c r="G85" s="2"/>
      <c r="H85" s="2"/>
      <c r="I85" s="2"/>
      <c r="J85" s="4"/>
    </row>
    <row r="86" spans="5:10" ht="19.2" x14ac:dyDescent="0.3">
      <c r="E86" s="2" t="s">
        <v>84</v>
      </c>
      <c r="F86" s="2"/>
      <c r="G86" s="2"/>
      <c r="H86" s="2"/>
      <c r="I86" s="2"/>
      <c r="J86" s="4"/>
    </row>
    <row r="87" spans="5:10" ht="19.2" x14ac:dyDescent="0.3">
      <c r="E87" s="2" t="s">
        <v>85</v>
      </c>
      <c r="F87" s="2"/>
      <c r="G87" s="2"/>
      <c r="H87" s="2"/>
      <c r="I87" s="2"/>
      <c r="J87" s="4"/>
    </row>
    <row r="88" spans="5:10" ht="19.2" x14ac:dyDescent="0.3">
      <c r="E88" s="2" t="s">
        <v>86</v>
      </c>
      <c r="F88" s="2"/>
      <c r="G88" s="2"/>
      <c r="H88" s="2"/>
      <c r="I88" s="2"/>
      <c r="J88" s="4"/>
    </row>
    <row r="89" spans="5:10" ht="19.2" x14ac:dyDescent="0.3">
      <c r="E89" s="2" t="s">
        <v>87</v>
      </c>
      <c r="F89" s="2"/>
      <c r="G89" s="2"/>
      <c r="H89" s="2"/>
      <c r="I89" s="2"/>
      <c r="J89" s="4"/>
    </row>
    <row r="90" spans="5:10" ht="19.2" x14ac:dyDescent="0.3">
      <c r="E90" s="2" t="s">
        <v>88</v>
      </c>
      <c r="F90" s="2"/>
      <c r="G90" s="2"/>
      <c r="H90" s="2"/>
      <c r="I90" s="2"/>
      <c r="J90" s="4"/>
    </row>
    <row r="91" spans="5:10" ht="19.2" x14ac:dyDescent="0.3">
      <c r="E91" s="2" t="s">
        <v>89</v>
      </c>
      <c r="F91" s="2"/>
      <c r="G91" s="2"/>
      <c r="H91" s="2"/>
      <c r="I91" s="2"/>
      <c r="J91" s="4"/>
    </row>
    <row r="92" spans="5:10" ht="19.2" x14ac:dyDescent="0.3">
      <c r="E92" s="2" t="s">
        <v>90</v>
      </c>
      <c r="F92" s="2"/>
      <c r="G92" s="2"/>
      <c r="H92" s="2"/>
      <c r="I92" s="2"/>
      <c r="J92" s="4"/>
    </row>
    <row r="93" spans="5:10" ht="19.2" x14ac:dyDescent="0.3">
      <c r="E93" s="2" t="s">
        <v>91</v>
      </c>
      <c r="F93" s="2"/>
      <c r="G93" s="2"/>
      <c r="H93" s="2"/>
      <c r="I93" s="2"/>
      <c r="J93" s="4"/>
    </row>
    <row r="94" spans="5:10" ht="19.2" x14ac:dyDescent="0.3">
      <c r="E94" s="2" t="s">
        <v>92</v>
      </c>
      <c r="F94" s="2"/>
      <c r="G94" s="2"/>
      <c r="H94" s="2"/>
      <c r="I94" s="2"/>
      <c r="J94" s="4"/>
    </row>
    <row r="95" spans="5:10" ht="19.2" x14ac:dyDescent="0.3">
      <c r="E95" s="2" t="s">
        <v>93</v>
      </c>
      <c r="F95" s="2"/>
      <c r="G95" s="2"/>
      <c r="H95" s="2"/>
      <c r="I95" s="2"/>
      <c r="J95" s="4"/>
    </row>
    <row r="96" spans="5:10" ht="19.2" x14ac:dyDescent="0.3">
      <c r="E96" s="2" t="s">
        <v>94</v>
      </c>
      <c r="F96" s="2"/>
      <c r="G96" s="2"/>
      <c r="H96" s="2"/>
      <c r="I96" s="2"/>
      <c r="J96" s="4"/>
    </row>
    <row r="97" spans="5:10" ht="19.2" x14ac:dyDescent="0.3">
      <c r="E97" s="2" t="s">
        <v>95</v>
      </c>
      <c r="F97" s="2">
        <v>15.58</v>
      </c>
      <c r="G97" s="2">
        <v>3000</v>
      </c>
      <c r="H97" s="2">
        <v>4</v>
      </c>
      <c r="I97" s="2">
        <v>-22.25</v>
      </c>
      <c r="J97" s="4">
        <v>-101</v>
      </c>
    </row>
    <row r="98" spans="5:10" ht="19.2" x14ac:dyDescent="0.3">
      <c r="E98" s="2" t="s">
        <v>96</v>
      </c>
      <c r="F98" s="2">
        <v>15.57</v>
      </c>
      <c r="G98" s="2">
        <v>3000</v>
      </c>
      <c r="H98" s="2">
        <v>4.0199999999999996</v>
      </c>
      <c r="I98" s="2">
        <v>-21</v>
      </c>
      <c r="J98" s="4">
        <v>-101</v>
      </c>
    </row>
    <row r="99" spans="5:10" ht="19.2" x14ac:dyDescent="0.3">
      <c r="E99" s="2" t="s">
        <v>97</v>
      </c>
      <c r="F99" s="2">
        <v>15.57</v>
      </c>
      <c r="G99" s="2">
        <v>3000</v>
      </c>
      <c r="H99" s="2">
        <v>4</v>
      </c>
      <c r="I99" s="2">
        <v>-20</v>
      </c>
      <c r="J99" s="4">
        <v>-100</v>
      </c>
    </row>
    <row r="100" spans="5:10" ht="19.2" x14ac:dyDescent="0.3">
      <c r="E100" s="2" t="s">
        <v>98</v>
      </c>
      <c r="F100" s="2">
        <v>15.57</v>
      </c>
      <c r="G100" s="2">
        <v>3000</v>
      </c>
      <c r="H100" s="2">
        <v>4</v>
      </c>
      <c r="I100" s="2">
        <v>-21.5</v>
      </c>
      <c r="J100" s="4">
        <v>-100</v>
      </c>
    </row>
    <row r="101" spans="5:10" ht="19.2" x14ac:dyDescent="0.3">
      <c r="E101" s="2" t="s">
        <v>100</v>
      </c>
      <c r="F101" s="2">
        <v>15.57</v>
      </c>
      <c r="G101" s="2">
        <v>3000</v>
      </c>
      <c r="H101" s="2">
        <v>4</v>
      </c>
      <c r="I101" s="2">
        <v>-16.75</v>
      </c>
      <c r="J101" s="4">
        <v>-99</v>
      </c>
    </row>
    <row r="102" spans="5:10" ht="19.2" x14ac:dyDescent="0.3">
      <c r="E102" s="2" t="s">
        <v>101</v>
      </c>
      <c r="F102" s="2">
        <v>15.56</v>
      </c>
      <c r="G102" s="2">
        <v>3000</v>
      </c>
      <c r="H102" s="2">
        <v>4</v>
      </c>
      <c r="I102" s="2">
        <v>-16.25</v>
      </c>
      <c r="J102" s="4">
        <v>-100</v>
      </c>
    </row>
    <row r="103" spans="5:10" ht="19.2" x14ac:dyDescent="0.3">
      <c r="E103" s="2" t="s">
        <v>102</v>
      </c>
      <c r="F103" s="2">
        <v>15.56</v>
      </c>
      <c r="G103" s="2">
        <v>3000</v>
      </c>
      <c r="H103" s="2">
        <v>3.97</v>
      </c>
      <c r="I103" s="2">
        <v>-16.75</v>
      </c>
      <c r="J103" s="4">
        <v>-101</v>
      </c>
    </row>
    <row r="104" spans="5:10" ht="19.2" x14ac:dyDescent="0.3">
      <c r="E104" s="2" t="s">
        <v>103</v>
      </c>
      <c r="F104" s="2">
        <v>15.54</v>
      </c>
      <c r="G104" s="2">
        <v>3000</v>
      </c>
      <c r="H104" s="2">
        <v>4</v>
      </c>
      <c r="I104" s="2">
        <v>-16</v>
      </c>
      <c r="J104" s="4">
        <v>-100</v>
      </c>
    </row>
  </sheetData>
  <mergeCells count="1">
    <mergeCell ref="E3:J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BD71-7CDC-417C-8847-1951CB2DB608}">
  <dimension ref="E3:K104"/>
  <sheetViews>
    <sheetView zoomScale="70" workbookViewId="0">
      <selection activeCell="K5" sqref="K5"/>
    </sheetView>
  </sheetViews>
  <sheetFormatPr defaultRowHeight="14.4" x14ac:dyDescent="0.3"/>
  <cols>
    <col min="6" max="6" width="17.88671875" bestFit="1" customWidth="1"/>
    <col min="7" max="7" width="17.77734375" bestFit="1" customWidth="1"/>
    <col min="8" max="8" width="17.88671875" bestFit="1" customWidth="1"/>
    <col min="9" max="9" width="18.88671875" bestFit="1" customWidth="1"/>
    <col min="10" max="10" width="13" customWidth="1"/>
    <col min="11" max="11" width="20.21875" customWidth="1"/>
  </cols>
  <sheetData>
    <row r="3" spans="5:11" ht="38.4" x14ac:dyDescent="0.3">
      <c r="E3" s="19" t="s">
        <v>105</v>
      </c>
      <c r="F3" s="20"/>
      <c r="G3" s="20"/>
      <c r="H3" s="20"/>
      <c r="I3" s="20"/>
      <c r="J3" s="20"/>
    </row>
    <row r="4" spans="5:11" ht="44.4" x14ac:dyDescent="0.3">
      <c r="E4" s="1" t="s">
        <v>2</v>
      </c>
      <c r="F4" s="1" t="s">
        <v>0</v>
      </c>
      <c r="G4" s="1" t="s">
        <v>99</v>
      </c>
      <c r="H4" s="3" t="s">
        <v>107</v>
      </c>
      <c r="I4" s="1" t="s">
        <v>108</v>
      </c>
      <c r="J4" s="3" t="s">
        <v>109</v>
      </c>
      <c r="K4" s="6" t="s">
        <v>113</v>
      </c>
    </row>
    <row r="5" spans="5:11" ht="19.2" x14ac:dyDescent="0.3">
      <c r="E5" s="2" t="s">
        <v>3</v>
      </c>
      <c r="F5" s="2"/>
      <c r="G5" s="2"/>
      <c r="H5" s="2"/>
      <c r="I5" s="2"/>
      <c r="J5" s="4"/>
    </row>
    <row r="6" spans="5:11" ht="19.2" x14ac:dyDescent="0.3">
      <c r="E6" s="2" t="s">
        <v>4</v>
      </c>
      <c r="G6" s="2"/>
      <c r="H6" s="2"/>
      <c r="I6" s="2"/>
      <c r="J6" s="4"/>
    </row>
    <row r="7" spans="5:11" ht="19.2" x14ac:dyDescent="0.3">
      <c r="E7" s="2" t="s">
        <v>5</v>
      </c>
      <c r="F7" s="2">
        <v>14.42</v>
      </c>
      <c r="G7" s="2">
        <v>286.86</v>
      </c>
      <c r="H7" s="2">
        <v>6.59</v>
      </c>
      <c r="I7" s="2">
        <v>-16.75</v>
      </c>
      <c r="J7" s="4">
        <v>-100</v>
      </c>
    </row>
    <row r="8" spans="5:11" ht="19.2" x14ac:dyDescent="0.3">
      <c r="E8" s="2" t="s">
        <v>6</v>
      </c>
      <c r="F8" s="2"/>
      <c r="G8" s="2"/>
      <c r="H8" s="2"/>
      <c r="I8" s="2"/>
      <c r="J8" s="4"/>
    </row>
    <row r="9" spans="5:11" ht="19.2" x14ac:dyDescent="0.3">
      <c r="E9" s="2" t="s">
        <v>7</v>
      </c>
      <c r="F9" s="2"/>
      <c r="G9" s="2"/>
      <c r="H9" s="2"/>
      <c r="I9" s="2"/>
      <c r="J9" s="4"/>
    </row>
    <row r="10" spans="5:11" ht="19.2" x14ac:dyDescent="0.3">
      <c r="E10" s="2" t="s">
        <v>8</v>
      </c>
      <c r="F10" s="2">
        <v>16.600000000000001</v>
      </c>
      <c r="G10" s="2">
        <v>165.46</v>
      </c>
      <c r="H10" s="2">
        <v>7.59</v>
      </c>
      <c r="I10" s="2">
        <v>-9.5</v>
      </c>
      <c r="J10" s="4">
        <v>-100</v>
      </c>
    </row>
    <row r="11" spans="5:11" ht="19.2" x14ac:dyDescent="0.3">
      <c r="E11" s="2" t="s">
        <v>9</v>
      </c>
      <c r="F11" s="2">
        <v>16.55</v>
      </c>
      <c r="G11" s="2">
        <v>87.82</v>
      </c>
      <c r="H11" s="2">
        <v>7.82</v>
      </c>
      <c r="I11" s="2">
        <v>-16.75</v>
      </c>
      <c r="J11" s="4">
        <v>-102</v>
      </c>
    </row>
    <row r="12" spans="5:11" ht="19.2" x14ac:dyDescent="0.3">
      <c r="E12" s="2" t="s">
        <v>10</v>
      </c>
      <c r="F12" s="2">
        <v>14.49</v>
      </c>
      <c r="G12" s="2">
        <v>81.599999999999994</v>
      </c>
      <c r="H12" s="2">
        <v>7.88</v>
      </c>
      <c r="I12" s="2">
        <v>-17.25</v>
      </c>
      <c r="J12" s="4">
        <v>-101</v>
      </c>
    </row>
    <row r="13" spans="5:11" ht="19.2" x14ac:dyDescent="0.3">
      <c r="E13" s="2" t="s">
        <v>11</v>
      </c>
      <c r="F13" s="2"/>
      <c r="G13" s="2"/>
      <c r="H13" s="2"/>
      <c r="I13" s="2"/>
      <c r="J13" s="4"/>
    </row>
    <row r="14" spans="5:11" ht="19.2" x14ac:dyDescent="0.3">
      <c r="E14" s="2" t="s">
        <v>12</v>
      </c>
      <c r="F14" s="2"/>
      <c r="G14" s="2"/>
      <c r="H14" s="2"/>
      <c r="I14" s="2"/>
      <c r="J14" s="4"/>
    </row>
    <row r="15" spans="5:11" ht="19.2" x14ac:dyDescent="0.3">
      <c r="E15" s="2" t="s">
        <v>13</v>
      </c>
      <c r="F15" s="2"/>
      <c r="G15" s="2"/>
      <c r="H15" s="2"/>
      <c r="I15" s="2"/>
      <c r="J15" s="4"/>
    </row>
    <row r="16" spans="5:11" ht="19.2" x14ac:dyDescent="0.3">
      <c r="E16" s="2" t="s">
        <v>14</v>
      </c>
      <c r="F16" s="2"/>
      <c r="G16" s="2"/>
      <c r="H16" s="2"/>
      <c r="I16" s="2"/>
      <c r="J16" s="4"/>
    </row>
    <row r="17" spans="5:10" ht="19.2" x14ac:dyDescent="0.3">
      <c r="E17" s="2" t="s">
        <v>15</v>
      </c>
      <c r="F17" s="2">
        <v>16.03</v>
      </c>
      <c r="G17" s="2">
        <v>201.93</v>
      </c>
      <c r="H17" s="2">
        <v>7.97</v>
      </c>
      <c r="I17" s="2">
        <v>-19.5</v>
      </c>
      <c r="J17" s="4">
        <v>-97</v>
      </c>
    </row>
    <row r="18" spans="5:10" ht="19.2" x14ac:dyDescent="0.3">
      <c r="E18" s="2" t="s">
        <v>16</v>
      </c>
      <c r="F18" s="2"/>
      <c r="G18" s="2"/>
      <c r="H18" s="2"/>
      <c r="I18" s="2"/>
      <c r="J18" s="4"/>
    </row>
    <row r="19" spans="5:10" ht="19.2" x14ac:dyDescent="0.3">
      <c r="E19" s="2" t="s">
        <v>17</v>
      </c>
      <c r="F19" s="2"/>
      <c r="G19" s="2"/>
      <c r="H19" s="2"/>
      <c r="I19" s="2"/>
      <c r="J19" s="4"/>
    </row>
    <row r="20" spans="5:10" ht="19.2" x14ac:dyDescent="0.3">
      <c r="E20" s="2" t="s">
        <v>18</v>
      </c>
      <c r="F20" s="2"/>
      <c r="G20" s="2"/>
      <c r="H20" s="2"/>
      <c r="I20" s="2"/>
      <c r="J20" s="4"/>
    </row>
    <row r="21" spans="5:10" ht="19.2" x14ac:dyDescent="0.3">
      <c r="E21" s="2" t="s">
        <v>19</v>
      </c>
      <c r="F21" s="2"/>
      <c r="G21" s="2"/>
      <c r="H21" s="2"/>
      <c r="I21" s="2"/>
      <c r="J21" s="4"/>
    </row>
    <row r="22" spans="5:10" ht="19.2" x14ac:dyDescent="0.3">
      <c r="E22" s="2" t="s">
        <v>20</v>
      </c>
      <c r="F22" s="2"/>
      <c r="G22" s="2"/>
      <c r="H22" s="2"/>
      <c r="I22" s="2"/>
      <c r="J22" s="4"/>
    </row>
    <row r="23" spans="5:10" ht="19.2" x14ac:dyDescent="0.3">
      <c r="E23" s="2" t="s">
        <v>21</v>
      </c>
      <c r="F23" s="2"/>
      <c r="G23" s="2"/>
      <c r="H23" s="2"/>
      <c r="I23" s="2"/>
      <c r="J23" s="4"/>
    </row>
    <row r="24" spans="5:10" ht="19.2" x14ac:dyDescent="0.3">
      <c r="E24" s="2" t="s">
        <v>22</v>
      </c>
      <c r="F24" s="2"/>
      <c r="G24" s="2"/>
      <c r="H24" s="2"/>
      <c r="I24" s="2"/>
      <c r="J24" s="4"/>
    </row>
    <row r="25" spans="5:10" ht="19.2" x14ac:dyDescent="0.3">
      <c r="E25" s="2" t="s">
        <v>23</v>
      </c>
      <c r="F25" s="2">
        <v>12.01</v>
      </c>
      <c r="G25" s="2">
        <v>90.9</v>
      </c>
      <c r="H25" s="2">
        <v>7.53</v>
      </c>
      <c r="I25" s="2">
        <v>-15</v>
      </c>
      <c r="J25" s="4">
        <v>-99</v>
      </c>
    </row>
    <row r="26" spans="5:10" ht="19.2" x14ac:dyDescent="0.3">
      <c r="E26" s="2" t="s">
        <v>24</v>
      </c>
      <c r="F26" s="2">
        <v>14.97</v>
      </c>
      <c r="G26" s="2">
        <v>96.98</v>
      </c>
      <c r="H26" s="2">
        <v>7.74</v>
      </c>
      <c r="I26" s="2">
        <v>-13.25</v>
      </c>
      <c r="J26" s="4">
        <v>-99</v>
      </c>
    </row>
    <row r="27" spans="5:10" ht="19.2" x14ac:dyDescent="0.3">
      <c r="E27" s="2" t="s">
        <v>25</v>
      </c>
      <c r="F27" s="2">
        <v>16.600000000000001</v>
      </c>
      <c r="G27" s="2">
        <v>96.98</v>
      </c>
      <c r="H27" s="2">
        <v>7.9</v>
      </c>
      <c r="I27" s="2">
        <v>-13</v>
      </c>
      <c r="J27" s="4">
        <v>-99</v>
      </c>
    </row>
    <row r="28" spans="5:10" ht="19.2" x14ac:dyDescent="0.3">
      <c r="E28" s="2" t="s">
        <v>26</v>
      </c>
      <c r="F28" s="2">
        <v>16.600000000000001</v>
      </c>
      <c r="G28" s="2">
        <v>93.95</v>
      </c>
      <c r="H28" s="2">
        <v>7.88</v>
      </c>
      <c r="I28" s="2">
        <v>-15</v>
      </c>
      <c r="J28" s="4">
        <v>-100</v>
      </c>
    </row>
    <row r="29" spans="5:10" ht="19.2" x14ac:dyDescent="0.3">
      <c r="E29" s="2" t="s">
        <v>27</v>
      </c>
      <c r="F29" s="2"/>
      <c r="G29" s="2"/>
      <c r="H29" s="2"/>
      <c r="I29" s="2"/>
      <c r="J29" s="4"/>
    </row>
    <row r="30" spans="5:10" ht="19.2" x14ac:dyDescent="0.3">
      <c r="E30" s="2" t="s">
        <v>28</v>
      </c>
      <c r="F30" s="2">
        <v>16.46</v>
      </c>
      <c r="G30" s="2">
        <v>272.67</v>
      </c>
      <c r="H30" s="2">
        <v>5.86</v>
      </c>
      <c r="I30" s="2">
        <v>-19.5</v>
      </c>
      <c r="J30" s="4">
        <v>-100</v>
      </c>
    </row>
    <row r="31" spans="5:10" ht="19.2" x14ac:dyDescent="0.3">
      <c r="E31" s="2" t="s">
        <v>29</v>
      </c>
      <c r="F31" s="2">
        <v>14.84</v>
      </c>
      <c r="G31" s="2">
        <v>90.9</v>
      </c>
      <c r="H31" s="2">
        <v>7.99</v>
      </c>
      <c r="I31" s="2">
        <v>-11.5</v>
      </c>
      <c r="J31" s="4">
        <v>-101</v>
      </c>
    </row>
    <row r="32" spans="5:10" ht="19.2" x14ac:dyDescent="0.3">
      <c r="E32" s="2" t="s">
        <v>30</v>
      </c>
      <c r="F32" s="2">
        <v>16.21</v>
      </c>
      <c r="G32" s="2">
        <v>93.95</v>
      </c>
      <c r="H32" s="2">
        <v>7.84</v>
      </c>
      <c r="I32" s="2">
        <v>-19.5</v>
      </c>
      <c r="J32" s="4">
        <v>-100</v>
      </c>
    </row>
    <row r="33" spans="5:10" ht="19.2" x14ac:dyDescent="0.3">
      <c r="E33" s="2" t="s">
        <v>31</v>
      </c>
      <c r="F33" s="2"/>
      <c r="G33" s="2"/>
      <c r="H33" s="2"/>
      <c r="I33" s="2"/>
      <c r="J33" s="4"/>
    </row>
    <row r="34" spans="5:10" ht="19.2" x14ac:dyDescent="0.3">
      <c r="E34" s="2" t="s">
        <v>32</v>
      </c>
      <c r="F34" s="2">
        <v>16.2</v>
      </c>
      <c r="G34" s="2">
        <v>93.95</v>
      </c>
      <c r="H34" s="2">
        <v>7.78</v>
      </c>
      <c r="I34" s="2">
        <v>-18.75</v>
      </c>
      <c r="J34" s="4">
        <v>-100</v>
      </c>
    </row>
    <row r="35" spans="5:10" ht="19.2" x14ac:dyDescent="0.3">
      <c r="E35" s="2" t="s">
        <v>33</v>
      </c>
      <c r="F35" s="2"/>
      <c r="G35" s="2"/>
      <c r="H35" s="2"/>
      <c r="I35" s="2"/>
      <c r="J35" s="4"/>
    </row>
    <row r="36" spans="5:10" ht="19.2" x14ac:dyDescent="0.3">
      <c r="E36" s="2" t="s">
        <v>34</v>
      </c>
      <c r="F36" s="2">
        <v>16.59</v>
      </c>
      <c r="G36" s="2">
        <v>93.95</v>
      </c>
      <c r="H36" s="2">
        <v>7.69</v>
      </c>
      <c r="I36" s="2">
        <v>-16</v>
      </c>
      <c r="J36" s="4">
        <v>-100</v>
      </c>
    </row>
    <row r="37" spans="5:10" ht="19.2" x14ac:dyDescent="0.3">
      <c r="E37" s="2" t="s">
        <v>35</v>
      </c>
      <c r="F37" s="2">
        <v>16.600000000000001</v>
      </c>
      <c r="G37" s="2">
        <v>145.07</v>
      </c>
      <c r="H37" s="2">
        <v>7.67</v>
      </c>
      <c r="I37" s="2">
        <v>-12.5</v>
      </c>
      <c r="J37" s="4">
        <v>-100</v>
      </c>
    </row>
    <row r="38" spans="5:10" ht="19.2" x14ac:dyDescent="0.3">
      <c r="E38" s="2" t="s">
        <v>36</v>
      </c>
      <c r="F38" s="2"/>
      <c r="G38" s="2"/>
      <c r="H38" s="2"/>
      <c r="I38" s="2"/>
      <c r="J38" s="4"/>
    </row>
    <row r="39" spans="5:10" ht="19.2" x14ac:dyDescent="0.3">
      <c r="E39" s="2" t="s">
        <v>37</v>
      </c>
      <c r="F39" s="2">
        <v>16.600000000000001</v>
      </c>
      <c r="G39" s="2">
        <v>123.25</v>
      </c>
      <c r="H39" s="2">
        <v>8.01</v>
      </c>
      <c r="I39" s="2">
        <v>-14</v>
      </c>
      <c r="J39" s="4">
        <v>-100</v>
      </c>
    </row>
    <row r="40" spans="5:10" ht="19.2" x14ac:dyDescent="0.3">
      <c r="E40" s="2" t="s">
        <v>38</v>
      </c>
      <c r="F40" s="2">
        <v>16.440000000000001</v>
      </c>
      <c r="G40" s="2">
        <v>93.95</v>
      </c>
      <c r="H40" s="2">
        <v>7.95</v>
      </c>
      <c r="I40" s="2">
        <v>-19.25</v>
      </c>
      <c r="J40" s="4">
        <v>-99</v>
      </c>
    </row>
    <row r="41" spans="5:10" ht="19.2" x14ac:dyDescent="0.3">
      <c r="E41" s="2" t="s">
        <v>39</v>
      </c>
      <c r="F41" s="2"/>
      <c r="G41" s="2"/>
      <c r="H41" s="2"/>
      <c r="I41" s="2"/>
      <c r="J41" s="4"/>
    </row>
    <row r="42" spans="5:10" ht="19.2" x14ac:dyDescent="0.3">
      <c r="E42" s="2" t="s">
        <v>40</v>
      </c>
      <c r="F42" s="2"/>
      <c r="G42" s="2"/>
      <c r="H42" s="2"/>
      <c r="I42" s="2"/>
      <c r="J42" s="4"/>
    </row>
    <row r="43" spans="5:10" ht="19.2" x14ac:dyDescent="0.3">
      <c r="E43" s="2" t="s">
        <v>41</v>
      </c>
      <c r="F43" s="2"/>
      <c r="G43" s="2"/>
      <c r="H43" s="2"/>
      <c r="I43" s="2"/>
      <c r="J43" s="4"/>
    </row>
    <row r="44" spans="5:10" ht="19.2" x14ac:dyDescent="0.3">
      <c r="E44" s="2" t="s">
        <v>42</v>
      </c>
      <c r="F44" s="2">
        <v>16.600000000000001</v>
      </c>
      <c r="G44" s="2">
        <v>96.98</v>
      </c>
      <c r="H44" s="2">
        <v>7.9</v>
      </c>
      <c r="I44" s="2">
        <v>-10</v>
      </c>
      <c r="J44" s="4">
        <v>-100</v>
      </c>
    </row>
    <row r="45" spans="5:10" ht="19.2" x14ac:dyDescent="0.3">
      <c r="E45" s="2" t="s">
        <v>43</v>
      </c>
      <c r="F45" s="2">
        <v>16.600000000000001</v>
      </c>
      <c r="G45" s="2">
        <v>96.98</v>
      </c>
      <c r="H45" s="2">
        <v>8.14</v>
      </c>
      <c r="I45" s="2">
        <v>-14</v>
      </c>
      <c r="J45" s="4">
        <v>-100</v>
      </c>
    </row>
    <row r="46" spans="5:10" ht="19.2" x14ac:dyDescent="0.3">
      <c r="E46" s="2" t="s">
        <v>44</v>
      </c>
      <c r="F46" s="2">
        <v>16.600000000000001</v>
      </c>
      <c r="G46" s="2">
        <v>99.99</v>
      </c>
      <c r="H46" s="2">
        <v>8.07</v>
      </c>
      <c r="I46" s="2">
        <v>-11.5</v>
      </c>
      <c r="J46" s="4">
        <v>-99</v>
      </c>
    </row>
    <row r="47" spans="5:10" ht="19.2" x14ac:dyDescent="0.3">
      <c r="E47" s="2" t="s">
        <v>45</v>
      </c>
      <c r="F47" s="2">
        <v>10.59</v>
      </c>
      <c r="G47" s="2">
        <v>93.95</v>
      </c>
      <c r="H47" s="2">
        <v>7.88</v>
      </c>
      <c r="I47" s="2">
        <v>-14.75</v>
      </c>
      <c r="J47" s="4">
        <v>-101</v>
      </c>
    </row>
    <row r="48" spans="5:10" ht="19.2" x14ac:dyDescent="0.3">
      <c r="E48" s="2" t="s">
        <v>46</v>
      </c>
      <c r="F48" s="2">
        <v>16.53</v>
      </c>
      <c r="G48" s="2">
        <v>99.99</v>
      </c>
      <c r="H48" s="2">
        <v>7.76</v>
      </c>
      <c r="I48" s="2">
        <v>-17.5</v>
      </c>
      <c r="J48" s="4">
        <v>-103</v>
      </c>
    </row>
    <row r="49" spans="5:10" ht="19.2" x14ac:dyDescent="0.3">
      <c r="E49" s="2" t="s">
        <v>47</v>
      </c>
      <c r="F49" s="2">
        <v>15.4</v>
      </c>
      <c r="G49" s="2">
        <v>96.98</v>
      </c>
      <c r="H49" s="2">
        <v>7.76</v>
      </c>
      <c r="I49" s="2">
        <v>-16.25</v>
      </c>
      <c r="J49" s="4">
        <v>-102</v>
      </c>
    </row>
    <row r="50" spans="5:10" ht="19.2" x14ac:dyDescent="0.3">
      <c r="E50" s="2" t="s">
        <v>48</v>
      </c>
      <c r="F50" s="2">
        <v>14.44</v>
      </c>
      <c r="G50" s="2">
        <v>90.9</v>
      </c>
      <c r="H50" s="2">
        <v>7.69</v>
      </c>
      <c r="I50" s="2">
        <v>-17.25</v>
      </c>
      <c r="J50" s="4">
        <v>-101</v>
      </c>
    </row>
    <row r="51" spans="5:10" ht="19.2" x14ac:dyDescent="0.3">
      <c r="E51" s="2" t="s">
        <v>49</v>
      </c>
      <c r="F51" s="2"/>
      <c r="G51" s="2"/>
      <c r="H51" s="2"/>
      <c r="I51" s="2"/>
      <c r="J51" s="4"/>
    </row>
    <row r="52" spans="5:10" ht="19.2" x14ac:dyDescent="0.3">
      <c r="E52" s="2" t="s">
        <v>50</v>
      </c>
      <c r="F52" s="2">
        <v>16.600000000000001</v>
      </c>
      <c r="G52" s="2">
        <v>90.9</v>
      </c>
      <c r="H52" s="2">
        <v>7.61</v>
      </c>
      <c r="I52" s="2">
        <v>-18</v>
      </c>
      <c r="J52" s="4">
        <v>-99</v>
      </c>
    </row>
    <row r="53" spans="5:10" ht="19.2" x14ac:dyDescent="0.3">
      <c r="E53" s="2" t="s">
        <v>51</v>
      </c>
      <c r="F53" s="2"/>
      <c r="G53" s="2"/>
      <c r="H53" s="2"/>
      <c r="I53" s="2"/>
      <c r="J53" s="4"/>
    </row>
    <row r="54" spans="5:10" ht="19.2" x14ac:dyDescent="0.3">
      <c r="E54" s="2" t="s">
        <v>52</v>
      </c>
      <c r="F54" s="2"/>
      <c r="G54" s="2"/>
      <c r="H54" s="2"/>
      <c r="I54" s="2"/>
      <c r="J54" s="4"/>
    </row>
    <row r="55" spans="5:10" ht="19.2" x14ac:dyDescent="0.3">
      <c r="E55" s="2" t="s">
        <v>53</v>
      </c>
      <c r="F55" s="2"/>
      <c r="G55" s="2"/>
      <c r="H55" s="2"/>
      <c r="I55" s="2"/>
      <c r="J55" s="4"/>
    </row>
    <row r="56" spans="5:10" ht="19.2" x14ac:dyDescent="0.3">
      <c r="E56" s="2" t="s">
        <v>54</v>
      </c>
      <c r="F56" s="2"/>
      <c r="G56" s="2"/>
      <c r="H56" s="2"/>
      <c r="I56" s="2"/>
      <c r="J56" s="4"/>
    </row>
    <row r="57" spans="5:10" ht="19.2" x14ac:dyDescent="0.3">
      <c r="E57" s="2" t="s">
        <v>55</v>
      </c>
      <c r="F57" s="2">
        <v>10.93</v>
      </c>
      <c r="G57" s="2">
        <v>111.8</v>
      </c>
      <c r="H57" s="2">
        <v>7.99</v>
      </c>
      <c r="I57" s="2">
        <v>-19</v>
      </c>
      <c r="J57" s="4">
        <v>-99</v>
      </c>
    </row>
    <row r="58" spans="5:10" ht="19.2" x14ac:dyDescent="0.3">
      <c r="E58" s="2" t="s">
        <v>56</v>
      </c>
      <c r="F58" s="2"/>
      <c r="G58" s="2"/>
      <c r="H58" s="2"/>
      <c r="I58" s="2"/>
      <c r="J58" s="4"/>
    </row>
    <row r="59" spans="5:10" ht="19.2" x14ac:dyDescent="0.3">
      <c r="E59" s="2" t="s">
        <v>57</v>
      </c>
      <c r="F59" s="2"/>
      <c r="G59" s="2"/>
      <c r="H59" s="2"/>
      <c r="I59" s="2"/>
      <c r="J59" s="4"/>
    </row>
    <row r="60" spans="5:10" ht="19.2" x14ac:dyDescent="0.3">
      <c r="E60" s="2" t="s">
        <v>58</v>
      </c>
      <c r="F60" s="2"/>
      <c r="G60" s="2"/>
      <c r="H60" s="2"/>
      <c r="I60" s="2"/>
      <c r="J60" s="4"/>
    </row>
    <row r="61" spans="5:10" ht="19.2" x14ac:dyDescent="0.3">
      <c r="E61" s="2" t="s">
        <v>59</v>
      </c>
      <c r="F61" s="2">
        <v>10.25</v>
      </c>
      <c r="G61" s="2">
        <v>117.57</v>
      </c>
      <c r="H61" s="2">
        <v>6.91</v>
      </c>
      <c r="I61" s="2">
        <v>-17</v>
      </c>
      <c r="J61" s="4">
        <v>-100</v>
      </c>
    </row>
    <row r="62" spans="5:10" ht="19.2" x14ac:dyDescent="0.3">
      <c r="E62" s="2" t="s">
        <v>60</v>
      </c>
      <c r="F62" s="2"/>
      <c r="G62" s="2"/>
      <c r="H62" s="2"/>
      <c r="I62" s="2"/>
      <c r="J62" s="4"/>
    </row>
    <row r="63" spans="5:10" ht="19.2" x14ac:dyDescent="0.3">
      <c r="E63" s="2" t="s">
        <v>61</v>
      </c>
      <c r="F63" s="2"/>
      <c r="G63" s="2"/>
      <c r="H63" s="2"/>
      <c r="I63" s="2"/>
      <c r="J63" s="4"/>
    </row>
    <row r="64" spans="5:10" ht="19.2" x14ac:dyDescent="0.3">
      <c r="E64" s="2" t="s">
        <v>62</v>
      </c>
      <c r="F64" s="2">
        <v>10.28</v>
      </c>
      <c r="G64" s="2">
        <v>114.69</v>
      </c>
      <c r="H64" s="2">
        <v>6.28</v>
      </c>
      <c r="I64" s="2">
        <v>-13.5</v>
      </c>
      <c r="J64" s="4">
        <v>-98</v>
      </c>
    </row>
    <row r="65" spans="5:10" ht="19.2" x14ac:dyDescent="0.3">
      <c r="E65" s="2" t="s">
        <v>63</v>
      </c>
      <c r="F65" s="2">
        <v>10.23</v>
      </c>
      <c r="G65" s="2">
        <v>114.69</v>
      </c>
      <c r="H65" s="2">
        <v>6.07</v>
      </c>
      <c r="I65" s="2">
        <v>-13.5</v>
      </c>
      <c r="J65" s="4">
        <v>-102</v>
      </c>
    </row>
    <row r="66" spans="5:10" ht="19.2" x14ac:dyDescent="0.3">
      <c r="E66" s="2" t="s">
        <v>64</v>
      </c>
      <c r="F66" s="2">
        <v>10.19</v>
      </c>
      <c r="G66" s="2">
        <v>114.69</v>
      </c>
      <c r="H66" s="2">
        <v>5.88</v>
      </c>
      <c r="I66" s="2">
        <v>-13.5</v>
      </c>
      <c r="J66" s="4">
        <v>-98</v>
      </c>
    </row>
    <row r="67" spans="5:10" ht="19.2" x14ac:dyDescent="0.3">
      <c r="E67" s="2" t="s">
        <v>65</v>
      </c>
      <c r="F67" s="2"/>
      <c r="G67" s="2"/>
      <c r="H67" s="2"/>
      <c r="I67" s="2"/>
      <c r="J67" s="4"/>
    </row>
    <row r="68" spans="5:10" ht="19.2" x14ac:dyDescent="0.3">
      <c r="E68" s="2" t="s">
        <v>66</v>
      </c>
      <c r="F68" s="2"/>
      <c r="G68" s="2"/>
      <c r="H68" s="2"/>
      <c r="I68" s="2"/>
      <c r="J68" s="4"/>
    </row>
    <row r="69" spans="5:10" ht="19.2" x14ac:dyDescent="0.3">
      <c r="E69" s="2" t="s">
        <v>67</v>
      </c>
      <c r="F69" s="2"/>
      <c r="G69" s="2"/>
      <c r="H69" s="2"/>
      <c r="I69" s="2"/>
      <c r="J69" s="4"/>
    </row>
    <row r="70" spans="5:10" ht="19.2" x14ac:dyDescent="0.3">
      <c r="E70" s="2" t="s">
        <v>68</v>
      </c>
      <c r="F70" s="2"/>
      <c r="G70" s="2"/>
      <c r="H70" s="2"/>
      <c r="I70" s="2"/>
      <c r="J70" s="4"/>
    </row>
    <row r="71" spans="5:10" ht="19.2" x14ac:dyDescent="0.3">
      <c r="E71" s="2" t="s">
        <v>69</v>
      </c>
      <c r="F71" s="2"/>
      <c r="G71" s="2"/>
      <c r="H71" s="2"/>
      <c r="I71" s="2"/>
      <c r="J71" s="4"/>
    </row>
    <row r="72" spans="5:10" ht="19.2" x14ac:dyDescent="0.3">
      <c r="E72" s="2" t="s">
        <v>70</v>
      </c>
      <c r="F72" s="2"/>
      <c r="G72" s="2"/>
      <c r="H72" s="2"/>
      <c r="I72" s="2"/>
      <c r="J72" s="4"/>
    </row>
    <row r="73" spans="5:10" ht="19.2" x14ac:dyDescent="0.3">
      <c r="E73" s="2" t="s">
        <v>71</v>
      </c>
      <c r="F73" s="2"/>
      <c r="G73" s="2"/>
      <c r="H73" s="2"/>
      <c r="I73" s="2"/>
      <c r="J73" s="4"/>
    </row>
    <row r="74" spans="5:10" ht="19.2" x14ac:dyDescent="0.3">
      <c r="E74" s="2" t="s">
        <v>72</v>
      </c>
      <c r="F74" s="2">
        <v>9.82</v>
      </c>
      <c r="G74" s="2">
        <v>111.8</v>
      </c>
      <c r="H74" s="2">
        <v>4.97</v>
      </c>
      <c r="I74" s="2">
        <v>-18.25</v>
      </c>
      <c r="J74" s="4">
        <v>-101</v>
      </c>
    </row>
    <row r="75" spans="5:10" ht="19.2" x14ac:dyDescent="0.3">
      <c r="E75" s="2" t="s">
        <v>73</v>
      </c>
      <c r="F75" s="2"/>
      <c r="G75" s="2"/>
      <c r="H75" s="2"/>
      <c r="I75" s="2"/>
      <c r="J75" s="4"/>
    </row>
    <row r="76" spans="5:10" ht="19.2" x14ac:dyDescent="0.3">
      <c r="E76" s="2" t="s">
        <v>74</v>
      </c>
      <c r="F76" s="2"/>
      <c r="G76" s="2"/>
      <c r="H76" s="2"/>
      <c r="I76" s="2"/>
      <c r="J76" s="4"/>
    </row>
    <row r="77" spans="5:10" ht="19.2" x14ac:dyDescent="0.3">
      <c r="E77" s="2" t="s">
        <v>75</v>
      </c>
      <c r="F77" s="2"/>
      <c r="G77" s="2"/>
      <c r="H77" s="2"/>
      <c r="I77" s="2"/>
      <c r="J77" s="4"/>
    </row>
    <row r="78" spans="5:10" ht="19.2" x14ac:dyDescent="0.3">
      <c r="E78" s="2" t="s">
        <v>76</v>
      </c>
      <c r="F78" s="2">
        <v>9.77</v>
      </c>
      <c r="G78" s="2">
        <v>111.8</v>
      </c>
      <c r="H78" s="2">
        <v>4.75</v>
      </c>
      <c r="I78" s="2">
        <v>-15.25</v>
      </c>
      <c r="J78" s="4">
        <v>-101</v>
      </c>
    </row>
    <row r="79" spans="5:10" ht="19.2" x14ac:dyDescent="0.3">
      <c r="E79" s="2" t="s">
        <v>77</v>
      </c>
      <c r="F79" s="2">
        <v>9.76</v>
      </c>
      <c r="G79" s="2">
        <v>111.8</v>
      </c>
      <c r="H79" s="2">
        <v>4.71</v>
      </c>
      <c r="I79" s="2">
        <v>-13.25</v>
      </c>
      <c r="J79" s="4">
        <v>-102</v>
      </c>
    </row>
    <row r="80" spans="5:10" ht="19.2" x14ac:dyDescent="0.3">
      <c r="E80" s="2" t="s">
        <v>78</v>
      </c>
      <c r="F80" s="2">
        <v>9.75</v>
      </c>
      <c r="G80" s="2">
        <v>111.8</v>
      </c>
      <c r="H80" s="2">
        <v>4.6900000000000004</v>
      </c>
      <c r="I80" s="2">
        <v>-15.75</v>
      </c>
      <c r="J80" s="4">
        <v>-101</v>
      </c>
    </row>
    <row r="81" spans="5:10" ht="19.2" x14ac:dyDescent="0.3">
      <c r="E81" s="2" t="s">
        <v>79</v>
      </c>
      <c r="F81" s="2">
        <v>9.75</v>
      </c>
      <c r="G81" s="2">
        <v>111.8</v>
      </c>
      <c r="H81" s="2">
        <v>4.67</v>
      </c>
      <c r="I81" s="2">
        <v>-21.5</v>
      </c>
      <c r="J81" s="4">
        <v>-102</v>
      </c>
    </row>
    <row r="82" spans="5:10" ht="19.2" x14ac:dyDescent="0.3">
      <c r="E82" s="2" t="s">
        <v>80</v>
      </c>
      <c r="F82" s="2">
        <v>9.74</v>
      </c>
      <c r="G82" s="2">
        <v>111.8</v>
      </c>
      <c r="H82" s="2">
        <v>4.63</v>
      </c>
      <c r="I82" s="2">
        <v>-15.75</v>
      </c>
      <c r="J82" s="4">
        <v>-100</v>
      </c>
    </row>
    <row r="83" spans="5:10" ht="19.2" x14ac:dyDescent="0.3">
      <c r="E83" s="2" t="s">
        <v>81</v>
      </c>
      <c r="F83" s="2">
        <v>9.74</v>
      </c>
      <c r="G83" s="2">
        <v>111.8</v>
      </c>
      <c r="H83" s="2">
        <v>4.63</v>
      </c>
      <c r="I83" s="2">
        <v>-13.75</v>
      </c>
      <c r="J83" s="4">
        <v>-101</v>
      </c>
    </row>
    <row r="84" spans="5:10" ht="19.2" x14ac:dyDescent="0.3">
      <c r="E84" s="2" t="s">
        <v>82</v>
      </c>
      <c r="F84" s="2">
        <v>9.73</v>
      </c>
      <c r="G84" s="2">
        <v>108.88</v>
      </c>
      <c r="H84" s="2">
        <v>4.6100000000000003</v>
      </c>
      <c r="I84" s="2">
        <v>-15.75</v>
      </c>
      <c r="J84" s="4">
        <v>-101</v>
      </c>
    </row>
    <row r="85" spans="5:10" ht="19.2" x14ac:dyDescent="0.3">
      <c r="E85" s="2" t="s">
        <v>83</v>
      </c>
      <c r="F85" s="2">
        <v>9.7200000000000006</v>
      </c>
      <c r="G85" s="2">
        <v>108.88</v>
      </c>
      <c r="H85" s="2">
        <v>4.6100000000000003</v>
      </c>
      <c r="I85" s="2">
        <v>-10.75</v>
      </c>
      <c r="J85" s="4">
        <v>-102</v>
      </c>
    </row>
    <row r="86" spans="5:10" ht="19.2" x14ac:dyDescent="0.3">
      <c r="E86" s="2" t="s">
        <v>84</v>
      </c>
      <c r="F86" s="2"/>
      <c r="G86" s="2"/>
      <c r="H86" s="2"/>
      <c r="I86" s="2"/>
      <c r="J86" s="4"/>
    </row>
    <row r="87" spans="5:10" ht="19.2" x14ac:dyDescent="0.3">
      <c r="E87" s="2" t="s">
        <v>85</v>
      </c>
      <c r="F87" s="2"/>
      <c r="G87" s="2"/>
      <c r="H87" s="2"/>
      <c r="I87" s="2"/>
      <c r="J87" s="4"/>
    </row>
    <row r="88" spans="5:10" ht="19.2" x14ac:dyDescent="0.3">
      <c r="E88" s="2" t="s">
        <v>86</v>
      </c>
      <c r="F88" s="2"/>
      <c r="G88" s="2"/>
      <c r="H88" s="2"/>
      <c r="I88" s="2"/>
      <c r="J88" s="4"/>
    </row>
    <row r="89" spans="5:10" ht="19.2" x14ac:dyDescent="0.3">
      <c r="E89" s="2" t="s">
        <v>87</v>
      </c>
      <c r="F89" s="2"/>
      <c r="G89" s="2"/>
      <c r="H89" s="2"/>
      <c r="I89" s="2"/>
      <c r="J89" s="4"/>
    </row>
    <row r="90" spans="5:10" ht="19.2" x14ac:dyDescent="0.3">
      <c r="E90" s="2" t="s">
        <v>88</v>
      </c>
      <c r="F90" s="2"/>
      <c r="G90" s="2"/>
      <c r="H90" s="2"/>
      <c r="I90" s="2"/>
      <c r="J90" s="4"/>
    </row>
    <row r="91" spans="5:10" ht="19.2" x14ac:dyDescent="0.3">
      <c r="E91" s="2" t="s">
        <v>89</v>
      </c>
      <c r="F91" s="2"/>
      <c r="G91" s="2"/>
      <c r="H91" s="2"/>
      <c r="I91" s="2"/>
      <c r="J91" s="4"/>
    </row>
    <row r="92" spans="5:10" ht="19.2" x14ac:dyDescent="0.3">
      <c r="E92" s="2" t="s">
        <v>90</v>
      </c>
      <c r="F92" s="2"/>
      <c r="G92" s="2"/>
      <c r="H92" s="2"/>
      <c r="I92" s="2"/>
      <c r="J92" s="4"/>
    </row>
    <row r="93" spans="5:10" ht="19.2" x14ac:dyDescent="0.3">
      <c r="E93" s="2" t="s">
        <v>91</v>
      </c>
      <c r="F93" s="2">
        <v>9.69</v>
      </c>
      <c r="G93" s="2">
        <v>108.88</v>
      </c>
      <c r="H93" s="2">
        <v>4.59</v>
      </c>
      <c r="I93" s="2">
        <v>-11.25</v>
      </c>
      <c r="J93" s="4">
        <v>-100</v>
      </c>
    </row>
    <row r="94" spans="5:10" ht="19.2" x14ac:dyDescent="0.3">
      <c r="E94" s="2" t="s">
        <v>92</v>
      </c>
      <c r="F94" s="2">
        <v>9.68</v>
      </c>
      <c r="G94" s="2">
        <v>108.88</v>
      </c>
      <c r="H94" s="2">
        <v>4.59</v>
      </c>
      <c r="I94" s="2">
        <v>-13.5</v>
      </c>
      <c r="J94" s="4">
        <v>-101</v>
      </c>
    </row>
    <row r="95" spans="5:10" ht="19.2" x14ac:dyDescent="0.3">
      <c r="E95" s="2" t="s">
        <v>93</v>
      </c>
      <c r="F95" s="2">
        <v>9.68</v>
      </c>
      <c r="G95" s="2">
        <v>108.88</v>
      </c>
      <c r="H95" s="2">
        <v>4.59</v>
      </c>
      <c r="I95" s="2">
        <v>-18.25</v>
      </c>
      <c r="J95" s="4">
        <v>-100</v>
      </c>
    </row>
    <row r="96" spans="5:10" ht="19.2" x14ac:dyDescent="0.3">
      <c r="E96" s="2" t="s">
        <v>94</v>
      </c>
      <c r="F96" s="2">
        <v>9.68</v>
      </c>
      <c r="G96" s="2">
        <v>108.88</v>
      </c>
      <c r="H96" s="2">
        <v>4.59</v>
      </c>
      <c r="I96" s="2">
        <v>-16</v>
      </c>
      <c r="J96" s="4">
        <v>-102</v>
      </c>
    </row>
    <row r="97" spans="5:10" ht="19.2" x14ac:dyDescent="0.3">
      <c r="E97" s="2" t="s">
        <v>95</v>
      </c>
      <c r="F97" s="2">
        <v>9.68</v>
      </c>
      <c r="G97" s="2">
        <v>108.88</v>
      </c>
      <c r="H97" s="2">
        <v>4.6100000000000003</v>
      </c>
      <c r="I97" s="2">
        <v>-16.5</v>
      </c>
      <c r="J97" s="4">
        <v>-99</v>
      </c>
    </row>
    <row r="98" spans="5:10" ht="19.2" x14ac:dyDescent="0.3">
      <c r="E98" s="2" t="s">
        <v>96</v>
      </c>
      <c r="F98" s="2">
        <v>9.68</v>
      </c>
      <c r="G98" s="2">
        <v>108.88</v>
      </c>
      <c r="H98" s="2">
        <v>4.59</v>
      </c>
      <c r="I98" s="2">
        <v>-19.75</v>
      </c>
      <c r="J98" s="4">
        <v>-101</v>
      </c>
    </row>
    <row r="99" spans="5:10" ht="19.2" x14ac:dyDescent="0.3">
      <c r="E99" s="2" t="s">
        <v>97</v>
      </c>
      <c r="F99" s="2">
        <v>9.67</v>
      </c>
      <c r="G99" s="2">
        <v>108.88</v>
      </c>
      <c r="H99" s="2">
        <v>4.59</v>
      </c>
      <c r="I99" s="2">
        <v>-19.75</v>
      </c>
      <c r="J99" s="4">
        <v>-101</v>
      </c>
    </row>
    <row r="100" spans="5:10" ht="19.2" x14ac:dyDescent="0.3">
      <c r="E100" s="2" t="s">
        <v>98</v>
      </c>
      <c r="F100" s="2"/>
      <c r="G100" s="2"/>
      <c r="H100" s="2"/>
      <c r="I100" s="2"/>
      <c r="J100" s="4"/>
    </row>
    <row r="101" spans="5:10" ht="19.2" x14ac:dyDescent="0.3">
      <c r="E101" s="2" t="s">
        <v>100</v>
      </c>
      <c r="F101" s="2"/>
      <c r="G101" s="2"/>
      <c r="H101" s="2"/>
      <c r="I101" s="2"/>
      <c r="J101" s="4"/>
    </row>
    <row r="102" spans="5:10" ht="19.2" x14ac:dyDescent="0.3">
      <c r="E102" s="2" t="s">
        <v>101</v>
      </c>
      <c r="F102" s="2">
        <v>9.67</v>
      </c>
      <c r="G102" s="2">
        <v>105.94</v>
      </c>
      <c r="H102" s="2">
        <v>4.63</v>
      </c>
      <c r="I102" s="2">
        <v>-11.5</v>
      </c>
      <c r="J102" s="4">
        <v>-101</v>
      </c>
    </row>
    <row r="103" spans="5:10" ht="19.2" x14ac:dyDescent="0.3">
      <c r="E103" s="2" t="s">
        <v>102</v>
      </c>
      <c r="F103" s="2">
        <v>9.66</v>
      </c>
      <c r="G103" s="2">
        <v>105.94</v>
      </c>
      <c r="H103" s="2">
        <v>4.6500000000000004</v>
      </c>
      <c r="I103" s="2">
        <v>-14.5</v>
      </c>
      <c r="J103" s="4">
        <v>-99</v>
      </c>
    </row>
    <row r="104" spans="5:10" ht="19.2" x14ac:dyDescent="0.3">
      <c r="E104" s="2" t="s">
        <v>103</v>
      </c>
      <c r="F104" s="2">
        <v>9.67</v>
      </c>
      <c r="G104" s="2">
        <v>105.94</v>
      </c>
      <c r="H104" s="2">
        <v>4.6500000000000004</v>
      </c>
      <c r="I104" s="2">
        <v>-14</v>
      </c>
      <c r="J104" s="4">
        <v>-101</v>
      </c>
    </row>
  </sheetData>
  <mergeCells count="1">
    <mergeCell ref="E3:J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B816-42D4-4CE2-B9D4-147E113B93CE}">
  <dimension ref="E3:K104"/>
  <sheetViews>
    <sheetView topLeftCell="A89" zoomScale="85" zoomScaleNormal="85" workbookViewId="0">
      <selection activeCell="E89" sqref="E1:K1048576"/>
    </sheetView>
  </sheetViews>
  <sheetFormatPr defaultRowHeight="14.4" x14ac:dyDescent="0.3"/>
  <cols>
    <col min="6" max="6" width="17.109375" bestFit="1" customWidth="1"/>
    <col min="7" max="7" width="15.33203125" customWidth="1"/>
    <col min="8" max="8" width="12.6640625" customWidth="1"/>
    <col min="9" max="9" width="14.21875" customWidth="1"/>
    <col min="10" max="10" width="10.21875" bestFit="1" customWidth="1"/>
    <col min="11" max="11" width="22" customWidth="1"/>
  </cols>
  <sheetData>
    <row r="3" spans="5:11" ht="38.4" x14ac:dyDescent="0.3">
      <c r="E3" s="19" t="s">
        <v>106</v>
      </c>
      <c r="F3" s="20"/>
      <c r="G3" s="20"/>
      <c r="H3" s="20"/>
      <c r="I3" s="20"/>
      <c r="J3" s="20"/>
    </row>
    <row r="4" spans="5:11" ht="53.4" customHeight="1" x14ac:dyDescent="0.3">
      <c r="E4" s="1" t="s">
        <v>2</v>
      </c>
      <c r="F4" s="1" t="s">
        <v>0</v>
      </c>
      <c r="G4" s="1" t="s">
        <v>99</v>
      </c>
      <c r="H4" s="3" t="s">
        <v>107</v>
      </c>
      <c r="I4" s="1" t="s">
        <v>108</v>
      </c>
      <c r="J4" s="3" t="s">
        <v>109</v>
      </c>
      <c r="K4" s="5" t="s">
        <v>112</v>
      </c>
    </row>
    <row r="5" spans="5:11" ht="19.2" x14ac:dyDescent="0.3">
      <c r="E5" s="2" t="s">
        <v>3</v>
      </c>
      <c r="F5" s="2"/>
      <c r="G5" s="2"/>
      <c r="H5" s="2"/>
      <c r="I5" s="2"/>
      <c r="J5" s="4"/>
    </row>
    <row r="6" spans="5:11" ht="19.2" x14ac:dyDescent="0.3">
      <c r="E6" s="2" t="s">
        <v>4</v>
      </c>
      <c r="F6" s="2">
        <v>10.15</v>
      </c>
      <c r="G6" s="2">
        <v>87.82</v>
      </c>
      <c r="H6" s="2">
        <v>7.3</v>
      </c>
      <c r="I6" s="2">
        <v>-14.25</v>
      </c>
      <c r="J6" s="4">
        <v>-101</v>
      </c>
    </row>
    <row r="7" spans="5:11" ht="19.2" x14ac:dyDescent="0.3">
      <c r="E7" s="2" t="s">
        <v>5</v>
      </c>
      <c r="F7" s="2">
        <v>10.09</v>
      </c>
      <c r="G7" s="2">
        <v>87.82</v>
      </c>
      <c r="H7" s="2">
        <v>7.02</v>
      </c>
      <c r="I7" s="2">
        <v>-14</v>
      </c>
      <c r="J7" s="4">
        <v>-99</v>
      </c>
    </row>
    <row r="8" spans="5:11" ht="19.2" x14ac:dyDescent="0.3">
      <c r="E8" s="2" t="s">
        <v>6</v>
      </c>
      <c r="F8" s="2">
        <v>9.99</v>
      </c>
      <c r="G8" s="2">
        <v>87.82</v>
      </c>
      <c r="H8" s="2">
        <v>6.76</v>
      </c>
      <c r="I8" s="2">
        <v>-13.75</v>
      </c>
      <c r="J8" s="4">
        <v>-99</v>
      </c>
    </row>
    <row r="9" spans="5:11" ht="19.2" x14ac:dyDescent="0.3">
      <c r="E9" s="2" t="s">
        <v>7</v>
      </c>
      <c r="F9" s="2">
        <v>10</v>
      </c>
      <c r="G9" s="2">
        <v>87.82</v>
      </c>
      <c r="H9" s="2">
        <v>6.53</v>
      </c>
      <c r="I9" s="2">
        <v>-12.75</v>
      </c>
      <c r="J9" s="4">
        <v>-100</v>
      </c>
    </row>
    <row r="10" spans="5:11" ht="19.2" x14ac:dyDescent="0.3">
      <c r="E10" s="2" t="s">
        <v>8</v>
      </c>
      <c r="F10" s="2">
        <v>9.9700000000000006</v>
      </c>
      <c r="G10" s="2">
        <v>87.82</v>
      </c>
      <c r="H10" s="2">
        <v>6.32</v>
      </c>
      <c r="I10" s="2">
        <v>-13</v>
      </c>
      <c r="J10" s="4">
        <v>-101</v>
      </c>
    </row>
    <row r="11" spans="5:11" ht="19.2" x14ac:dyDescent="0.3">
      <c r="E11" s="2" t="s">
        <v>9</v>
      </c>
      <c r="F11" s="2">
        <v>9.94</v>
      </c>
      <c r="G11" s="2">
        <v>87.82</v>
      </c>
      <c r="H11" s="2">
        <v>6.13</v>
      </c>
      <c r="I11" s="2">
        <v>-18</v>
      </c>
      <c r="J11" s="4">
        <v>-98</v>
      </c>
    </row>
    <row r="12" spans="5:11" ht="19.2" x14ac:dyDescent="0.3">
      <c r="E12" s="2" t="s">
        <v>10</v>
      </c>
      <c r="F12" s="2"/>
      <c r="G12" s="2"/>
      <c r="H12" s="2"/>
      <c r="I12" s="2"/>
      <c r="J12" s="4"/>
    </row>
    <row r="13" spans="5:11" ht="19.2" x14ac:dyDescent="0.3">
      <c r="E13" s="2" t="s">
        <v>11</v>
      </c>
      <c r="F13" s="2">
        <v>9.9</v>
      </c>
      <c r="G13" s="2">
        <v>87.82</v>
      </c>
      <c r="H13" s="2">
        <v>5.81</v>
      </c>
      <c r="I13" s="2">
        <v>-12.75</v>
      </c>
      <c r="J13" s="4">
        <v>-102</v>
      </c>
    </row>
    <row r="14" spans="5:11" ht="19.2" x14ac:dyDescent="0.3">
      <c r="E14" s="2" t="s">
        <v>12</v>
      </c>
      <c r="F14" s="2">
        <v>9.8800000000000008</v>
      </c>
      <c r="G14" s="2">
        <v>87.82</v>
      </c>
      <c r="H14" s="2">
        <v>5.67</v>
      </c>
      <c r="I14" s="2">
        <v>-14.5</v>
      </c>
      <c r="J14" s="4">
        <v>-100</v>
      </c>
    </row>
    <row r="15" spans="5:11" ht="19.2" x14ac:dyDescent="0.3">
      <c r="E15" s="2" t="s">
        <v>13</v>
      </c>
      <c r="F15" s="2">
        <v>9.8699999999999992</v>
      </c>
      <c r="G15" s="2">
        <v>87.82</v>
      </c>
      <c r="H15" s="2">
        <v>5.56</v>
      </c>
      <c r="I15" s="2">
        <v>-15.25</v>
      </c>
      <c r="J15" s="4">
        <v>-101</v>
      </c>
    </row>
    <row r="16" spans="5:11" ht="19.2" x14ac:dyDescent="0.3">
      <c r="E16" s="2" t="s">
        <v>14</v>
      </c>
      <c r="F16" s="2">
        <v>9.85</v>
      </c>
      <c r="G16" s="2">
        <v>87.82</v>
      </c>
      <c r="H16" s="2">
        <v>5.47</v>
      </c>
      <c r="I16" s="2">
        <v>-17</v>
      </c>
      <c r="J16" s="4">
        <v>-101</v>
      </c>
    </row>
    <row r="17" spans="5:10" ht="19.2" x14ac:dyDescent="0.3">
      <c r="E17" s="2" t="s">
        <v>15</v>
      </c>
      <c r="F17" s="2">
        <v>9.84</v>
      </c>
      <c r="G17" s="2">
        <v>87.82</v>
      </c>
      <c r="H17" s="2">
        <v>5.37</v>
      </c>
      <c r="I17" s="2">
        <v>-17.25</v>
      </c>
      <c r="J17" s="4">
        <v>-100</v>
      </c>
    </row>
    <row r="18" spans="5:10" ht="19.2" x14ac:dyDescent="0.3">
      <c r="E18" s="2" t="s">
        <v>16</v>
      </c>
      <c r="F18" s="2">
        <v>9.8699999999999992</v>
      </c>
      <c r="G18" s="2">
        <v>87.82</v>
      </c>
      <c r="H18" s="2">
        <v>5.28</v>
      </c>
      <c r="I18" s="2">
        <v>-20</v>
      </c>
      <c r="J18" s="4">
        <v>-100</v>
      </c>
    </row>
    <row r="19" spans="5:10" ht="19.2" x14ac:dyDescent="0.3">
      <c r="E19" s="2" t="s">
        <v>17</v>
      </c>
      <c r="F19" s="2">
        <v>9.85</v>
      </c>
      <c r="G19" s="2">
        <v>87.82</v>
      </c>
      <c r="H19" s="2">
        <v>5.2</v>
      </c>
      <c r="I19" s="2">
        <v>-18.75</v>
      </c>
      <c r="J19" s="4">
        <v>-99</v>
      </c>
    </row>
    <row r="20" spans="5:10" ht="19.2" x14ac:dyDescent="0.3">
      <c r="E20" s="2" t="s">
        <v>18</v>
      </c>
      <c r="F20" s="2">
        <v>9.84</v>
      </c>
      <c r="G20" s="2">
        <v>-87.82</v>
      </c>
      <c r="H20" s="2">
        <v>5.14</v>
      </c>
      <c r="I20" s="2">
        <v>-16</v>
      </c>
      <c r="J20" s="4">
        <v>-100</v>
      </c>
    </row>
    <row r="21" spans="5:10" ht="19.2" x14ac:dyDescent="0.3">
      <c r="E21" s="2" t="s">
        <v>19</v>
      </c>
      <c r="F21" s="2">
        <v>9.81</v>
      </c>
      <c r="G21" s="2">
        <v>87.82</v>
      </c>
      <c r="H21" s="2">
        <v>5.07</v>
      </c>
      <c r="I21" s="2">
        <v>-16</v>
      </c>
      <c r="J21" s="4">
        <v>-101</v>
      </c>
    </row>
    <row r="22" spans="5:10" ht="19.2" x14ac:dyDescent="0.3">
      <c r="E22" s="2" t="s">
        <v>20</v>
      </c>
      <c r="F22" s="2">
        <v>-9.7899999999999991</v>
      </c>
      <c r="G22" s="2">
        <v>87.82</v>
      </c>
      <c r="H22" s="2">
        <v>5.01</v>
      </c>
      <c r="I22" s="2">
        <v>-15.25</v>
      </c>
      <c r="J22" s="4">
        <v>-101</v>
      </c>
    </row>
    <row r="23" spans="5:10" ht="19.2" x14ac:dyDescent="0.3">
      <c r="E23" s="2" t="s">
        <v>21</v>
      </c>
      <c r="F23" s="2">
        <v>9.7799999999999994</v>
      </c>
      <c r="G23" s="2">
        <v>87.82</v>
      </c>
      <c r="H23" s="2">
        <v>4.97</v>
      </c>
      <c r="I23" s="2">
        <v>-15.75</v>
      </c>
      <c r="J23" s="4">
        <v>-101</v>
      </c>
    </row>
    <row r="24" spans="5:10" ht="19.2" x14ac:dyDescent="0.3">
      <c r="E24" s="2" t="s">
        <v>22</v>
      </c>
      <c r="F24" s="2">
        <v>9.77</v>
      </c>
      <c r="G24" s="2">
        <v>87.82</v>
      </c>
      <c r="H24" s="2">
        <v>4.92</v>
      </c>
      <c r="I24" s="2">
        <v>-15</v>
      </c>
      <c r="J24" s="4">
        <v>-100</v>
      </c>
    </row>
    <row r="25" spans="5:10" ht="19.2" x14ac:dyDescent="0.3">
      <c r="E25" s="2" t="s">
        <v>23</v>
      </c>
      <c r="F25" s="2">
        <v>9.77</v>
      </c>
      <c r="G25" s="2">
        <v>87.82</v>
      </c>
      <c r="H25" s="2">
        <v>4.88</v>
      </c>
      <c r="I25" s="2">
        <v>-18.25</v>
      </c>
      <c r="J25" s="4">
        <v>-102</v>
      </c>
    </row>
    <row r="26" spans="5:10" ht="19.2" x14ac:dyDescent="0.3">
      <c r="E26" s="2" t="s">
        <v>24</v>
      </c>
      <c r="F26" s="2">
        <v>9.76</v>
      </c>
      <c r="G26" s="2">
        <v>87.82</v>
      </c>
      <c r="H26" s="2">
        <v>4.88</v>
      </c>
      <c r="I26" s="2">
        <v>-18.25</v>
      </c>
      <c r="J26" s="4">
        <v>-102</v>
      </c>
    </row>
    <row r="27" spans="5:10" ht="19.2" x14ac:dyDescent="0.3">
      <c r="E27" s="2" t="s">
        <v>25</v>
      </c>
      <c r="F27" s="2">
        <v>9.75</v>
      </c>
      <c r="G27" s="2">
        <v>87.82</v>
      </c>
      <c r="H27" s="2">
        <v>4.82</v>
      </c>
      <c r="I27" s="2">
        <v>-18.75</v>
      </c>
      <c r="J27" s="4">
        <v>-102</v>
      </c>
    </row>
    <row r="28" spans="5:10" ht="19.2" x14ac:dyDescent="0.3">
      <c r="E28" s="2" t="s">
        <v>26</v>
      </c>
      <c r="F28" s="2">
        <v>9.75</v>
      </c>
      <c r="G28" s="2">
        <v>87.82</v>
      </c>
      <c r="H28" s="2">
        <v>4.8</v>
      </c>
      <c r="I28" s="2">
        <v>-17.25</v>
      </c>
      <c r="J28" s="4">
        <v>-101</v>
      </c>
    </row>
    <row r="29" spans="5:10" ht="19.2" x14ac:dyDescent="0.3">
      <c r="E29" s="2" t="s">
        <v>27</v>
      </c>
      <c r="F29" s="2">
        <v>9.74</v>
      </c>
      <c r="G29" s="2">
        <v>87.82</v>
      </c>
      <c r="H29" s="2">
        <v>4.7699999999999996</v>
      </c>
      <c r="I29" s="2">
        <v>-16</v>
      </c>
      <c r="J29" s="4">
        <v>-101</v>
      </c>
    </row>
    <row r="30" spans="5:10" ht="19.2" x14ac:dyDescent="0.3">
      <c r="E30" s="2" t="s">
        <v>28</v>
      </c>
      <c r="F30" s="2">
        <v>9.73</v>
      </c>
      <c r="G30" s="2">
        <v>87.82</v>
      </c>
      <c r="H30" s="2">
        <v>4.75</v>
      </c>
      <c r="I30" s="2">
        <v>-15.25</v>
      </c>
      <c r="J30" s="4">
        <v>-101</v>
      </c>
    </row>
    <row r="31" spans="5:10" ht="19.2" x14ac:dyDescent="0.3">
      <c r="E31" s="2" t="s">
        <v>29</v>
      </c>
      <c r="F31" s="2">
        <v>9.7200000000000006</v>
      </c>
      <c r="G31" s="2">
        <v>87.82</v>
      </c>
      <c r="H31" s="2">
        <v>4.7300000000000004</v>
      </c>
      <c r="I31" s="2">
        <v>-15.5</v>
      </c>
      <c r="J31" s="4">
        <v>-100</v>
      </c>
    </row>
    <row r="32" spans="5:10" ht="19.2" x14ac:dyDescent="0.3">
      <c r="E32" s="2" t="s">
        <v>30</v>
      </c>
      <c r="F32" s="2">
        <v>9.7200000000000006</v>
      </c>
      <c r="G32" s="2">
        <v>87.82</v>
      </c>
      <c r="H32" s="2">
        <v>4.7300000000000004</v>
      </c>
      <c r="I32" s="2">
        <v>-14.25</v>
      </c>
      <c r="J32" s="4">
        <v>-100</v>
      </c>
    </row>
    <row r="33" spans="5:10" ht="19.2" x14ac:dyDescent="0.3">
      <c r="E33" s="2" t="s">
        <v>31</v>
      </c>
      <c r="F33" s="2">
        <v>9.7200000000000006</v>
      </c>
      <c r="G33" s="2">
        <v>87.82</v>
      </c>
      <c r="H33" s="2">
        <v>4.72</v>
      </c>
      <c r="I33" s="2">
        <v>-18</v>
      </c>
      <c r="J33" s="4">
        <v>-102</v>
      </c>
    </row>
    <row r="34" spans="5:10" ht="19.2" x14ac:dyDescent="0.3">
      <c r="E34" s="2" t="s">
        <v>32</v>
      </c>
      <c r="F34" s="2">
        <v>9.7100000000000009</v>
      </c>
      <c r="G34" s="2">
        <v>87.82</v>
      </c>
      <c r="H34" s="2">
        <v>4.6900000000000004</v>
      </c>
      <c r="I34" s="2">
        <v>-12.25</v>
      </c>
      <c r="J34" s="4">
        <v>-100</v>
      </c>
    </row>
    <row r="35" spans="5:10" ht="19.2" x14ac:dyDescent="0.3">
      <c r="E35" s="2" t="s">
        <v>33</v>
      </c>
      <c r="F35" s="2">
        <v>9.7100000000000009</v>
      </c>
      <c r="G35" s="2">
        <v>87.82</v>
      </c>
      <c r="H35" s="2">
        <v>4.6900000000000004</v>
      </c>
      <c r="I35" s="2">
        <v>-17.5</v>
      </c>
      <c r="J35" s="4">
        <v>-101</v>
      </c>
    </row>
    <row r="36" spans="5:10" ht="19.2" x14ac:dyDescent="0.3">
      <c r="E36" s="2" t="s">
        <v>34</v>
      </c>
      <c r="F36" s="2">
        <v>9.7100000000000009</v>
      </c>
      <c r="G36" s="2">
        <v>87.82</v>
      </c>
      <c r="H36" s="2">
        <v>4.6900000000000004</v>
      </c>
      <c r="I36" s="2">
        <v>18</v>
      </c>
      <c r="J36" s="4">
        <v>-100</v>
      </c>
    </row>
    <row r="37" spans="5:10" ht="19.2" x14ac:dyDescent="0.3">
      <c r="E37" s="2" t="s">
        <v>35</v>
      </c>
      <c r="F37" s="2">
        <v>9.6999999999999993</v>
      </c>
      <c r="G37" s="2">
        <v>87.82</v>
      </c>
      <c r="H37" s="2">
        <v>4.67</v>
      </c>
      <c r="I37" s="2">
        <v>-14.5</v>
      </c>
      <c r="J37" s="4">
        <v>-100</v>
      </c>
    </row>
    <row r="38" spans="5:10" ht="19.2" x14ac:dyDescent="0.3">
      <c r="E38" s="2" t="s">
        <v>36</v>
      </c>
      <c r="F38" s="2">
        <v>9.7100000000000009</v>
      </c>
      <c r="G38" s="2">
        <v>87.82</v>
      </c>
      <c r="H38" s="2">
        <v>4.67</v>
      </c>
      <c r="I38" s="2">
        <v>-15.25</v>
      </c>
      <c r="J38" s="4">
        <v>-101</v>
      </c>
    </row>
    <row r="39" spans="5:10" ht="19.2" x14ac:dyDescent="0.3">
      <c r="E39" s="2" t="s">
        <v>37</v>
      </c>
      <c r="F39" s="2">
        <v>9.7100000000000009</v>
      </c>
      <c r="G39" s="2">
        <v>87.82</v>
      </c>
      <c r="H39" s="2">
        <v>4.6900000000000004</v>
      </c>
      <c r="I39" s="2">
        <v>-17.25</v>
      </c>
      <c r="J39" s="4">
        <v>-100</v>
      </c>
    </row>
    <row r="40" spans="5:10" ht="19.2" x14ac:dyDescent="0.3">
      <c r="E40" s="2" t="s">
        <v>38</v>
      </c>
      <c r="F40" s="2">
        <v>9.69</v>
      </c>
      <c r="G40" s="2">
        <v>87.82</v>
      </c>
      <c r="H40" s="2">
        <v>4.67</v>
      </c>
      <c r="I40" s="2">
        <v>-18</v>
      </c>
      <c r="J40" s="4">
        <v>-100</v>
      </c>
    </row>
    <row r="41" spans="5:10" ht="19.2" x14ac:dyDescent="0.3">
      <c r="E41" s="2" t="s">
        <v>39</v>
      </c>
      <c r="F41" s="2">
        <v>9.8699999999999992</v>
      </c>
      <c r="G41" s="2">
        <v>87.82</v>
      </c>
      <c r="H41" s="2">
        <v>4.67</v>
      </c>
      <c r="I41" s="2">
        <v>17.25</v>
      </c>
      <c r="J41" s="4">
        <v>-101</v>
      </c>
    </row>
    <row r="42" spans="5:10" ht="19.2" x14ac:dyDescent="0.3">
      <c r="E42" s="2" t="s">
        <v>40</v>
      </c>
      <c r="F42" s="2"/>
      <c r="G42" s="2"/>
      <c r="H42" s="2"/>
      <c r="I42" s="2"/>
      <c r="J42" s="4"/>
    </row>
    <row r="43" spans="5:10" ht="19.2" x14ac:dyDescent="0.3">
      <c r="E43" s="2" t="s">
        <v>41</v>
      </c>
      <c r="F43" s="2">
        <v>9.6999999999999993</v>
      </c>
      <c r="G43" s="2">
        <v>87.82</v>
      </c>
      <c r="H43" s="2">
        <v>4.6900000000000004</v>
      </c>
      <c r="I43" s="2">
        <v>-20.25</v>
      </c>
      <c r="J43" s="4">
        <v>-101</v>
      </c>
    </row>
    <row r="44" spans="5:10" ht="19.2" x14ac:dyDescent="0.3">
      <c r="E44" s="2" t="s">
        <v>42</v>
      </c>
      <c r="F44" s="2">
        <v>9.69</v>
      </c>
      <c r="G44" s="2">
        <v>87.82</v>
      </c>
      <c r="H44" s="2">
        <v>4.72</v>
      </c>
      <c r="I44" s="2">
        <v>-15.5</v>
      </c>
      <c r="J44" s="4">
        <v>-102</v>
      </c>
    </row>
    <row r="45" spans="5:10" ht="19.2" x14ac:dyDescent="0.3">
      <c r="E45" s="2" t="s">
        <v>43</v>
      </c>
      <c r="F45" s="2">
        <v>9.68</v>
      </c>
      <c r="G45" s="2">
        <v>87.82</v>
      </c>
      <c r="H45" s="2">
        <v>4.71</v>
      </c>
      <c r="I45" s="2">
        <v>-19.25</v>
      </c>
      <c r="J45" s="4">
        <v>-101</v>
      </c>
    </row>
    <row r="46" spans="5:10" ht="19.2" x14ac:dyDescent="0.3">
      <c r="E46" s="2" t="s">
        <v>44</v>
      </c>
      <c r="F46" s="2">
        <v>9.68</v>
      </c>
      <c r="G46" s="2">
        <v>87.82</v>
      </c>
      <c r="H46" s="2">
        <v>4.6900000000000004</v>
      </c>
      <c r="I46" s="2">
        <v>-15.25</v>
      </c>
      <c r="J46" s="4">
        <v>-103</v>
      </c>
    </row>
    <row r="47" spans="5:10" ht="19.2" x14ac:dyDescent="0.3">
      <c r="E47" s="2" t="s">
        <v>45</v>
      </c>
      <c r="F47" s="2">
        <v>9.6999999999999993</v>
      </c>
      <c r="G47" s="2">
        <v>87.82</v>
      </c>
      <c r="H47" s="2">
        <v>4.71</v>
      </c>
      <c r="I47" s="2">
        <v>-19.25</v>
      </c>
      <c r="J47" s="4">
        <v>-102</v>
      </c>
    </row>
    <row r="48" spans="5:10" ht="19.2" x14ac:dyDescent="0.3">
      <c r="E48" s="2" t="s">
        <v>46</v>
      </c>
      <c r="F48" s="2">
        <v>9.7100000000000009</v>
      </c>
      <c r="G48" s="2">
        <v>87.82</v>
      </c>
      <c r="H48" s="2">
        <v>4.7300000000000004</v>
      </c>
      <c r="I48" s="2">
        <v>-14</v>
      </c>
      <c r="J48" s="4">
        <v>-102</v>
      </c>
    </row>
    <row r="49" spans="5:11" ht="19.2" x14ac:dyDescent="0.3">
      <c r="E49" s="2" t="s">
        <v>47</v>
      </c>
      <c r="F49" s="2">
        <v>9.69</v>
      </c>
      <c r="G49" s="2">
        <v>87.82</v>
      </c>
      <c r="H49" s="2">
        <v>4.7300000000000004</v>
      </c>
      <c r="I49" s="2">
        <v>-14</v>
      </c>
      <c r="J49" s="4">
        <v>-101</v>
      </c>
    </row>
    <row r="50" spans="5:11" ht="19.2" x14ac:dyDescent="0.3">
      <c r="E50" s="2" t="s">
        <v>48</v>
      </c>
      <c r="F50" s="2">
        <v>9.67</v>
      </c>
      <c r="G50" s="2">
        <v>87.82</v>
      </c>
      <c r="H50" s="2">
        <v>4.7300000000000004</v>
      </c>
      <c r="I50" s="2">
        <v>-14</v>
      </c>
      <c r="J50" s="4">
        <v>-102</v>
      </c>
    </row>
    <row r="51" spans="5:11" ht="19.2" x14ac:dyDescent="0.3">
      <c r="E51" s="2" t="s">
        <v>49</v>
      </c>
      <c r="F51" s="2">
        <v>9.67</v>
      </c>
      <c r="G51" s="2">
        <v>87.82</v>
      </c>
      <c r="H51" s="2">
        <v>4.7300000000000004</v>
      </c>
      <c r="I51" s="2">
        <v>-17.25</v>
      </c>
      <c r="J51" s="4">
        <v>-101</v>
      </c>
    </row>
    <row r="52" spans="5:11" ht="19.2" x14ac:dyDescent="0.3">
      <c r="E52" s="2" t="s">
        <v>50</v>
      </c>
      <c r="F52" s="2">
        <v>9.68</v>
      </c>
      <c r="G52" s="2">
        <v>87.82</v>
      </c>
      <c r="H52" s="2">
        <v>4.75</v>
      </c>
      <c r="I52" s="2">
        <v>-15.25</v>
      </c>
      <c r="J52" s="4">
        <v>-100</v>
      </c>
    </row>
    <row r="53" spans="5:11" ht="19.2" x14ac:dyDescent="0.3">
      <c r="E53" s="2" t="s">
        <v>51</v>
      </c>
      <c r="F53" s="2">
        <v>9.67</v>
      </c>
      <c r="G53" s="2">
        <v>87.82</v>
      </c>
      <c r="H53" s="2">
        <v>4.75</v>
      </c>
      <c r="I53" s="2">
        <v>-15.5</v>
      </c>
      <c r="J53" s="4">
        <v>-102</v>
      </c>
    </row>
    <row r="54" spans="5:11" ht="19.2" x14ac:dyDescent="0.3">
      <c r="E54" s="2" t="s">
        <v>52</v>
      </c>
      <c r="F54" s="2">
        <v>9.67</v>
      </c>
      <c r="G54" s="2">
        <v>87.82</v>
      </c>
      <c r="H54" s="2">
        <v>4.7699999999999996</v>
      </c>
      <c r="I54" s="2">
        <v>-12.75</v>
      </c>
      <c r="J54" s="4">
        <v>-100</v>
      </c>
    </row>
    <row r="55" spans="5:11" ht="19.2" x14ac:dyDescent="0.3">
      <c r="E55" s="2" t="s">
        <v>53</v>
      </c>
      <c r="F55" s="2"/>
      <c r="G55" s="2"/>
      <c r="H55" s="2"/>
      <c r="I55" s="2"/>
      <c r="J55" s="4"/>
    </row>
    <row r="56" spans="5:11" ht="19.2" x14ac:dyDescent="0.3">
      <c r="E56" s="2" t="s">
        <v>54</v>
      </c>
      <c r="F56" s="2">
        <v>9.67</v>
      </c>
      <c r="G56" s="2">
        <v>87.82</v>
      </c>
      <c r="H56" s="2">
        <v>4.7699999999999996</v>
      </c>
      <c r="I56" s="2">
        <v>-12.75</v>
      </c>
      <c r="J56" s="4">
        <v>-100</v>
      </c>
    </row>
    <row r="57" spans="5:11" ht="19.2" x14ac:dyDescent="0.3">
      <c r="E57" s="2" t="s">
        <v>55</v>
      </c>
      <c r="F57" s="2">
        <v>9.67</v>
      </c>
      <c r="G57" s="2">
        <v>87.82</v>
      </c>
      <c r="H57" s="2">
        <v>4.7699999999999996</v>
      </c>
      <c r="I57" s="2">
        <v>-11.25</v>
      </c>
      <c r="J57" s="4">
        <v>-101</v>
      </c>
    </row>
    <row r="58" spans="5:11" ht="19.2" x14ac:dyDescent="0.3">
      <c r="E58" s="2" t="s">
        <v>56</v>
      </c>
      <c r="F58" s="2">
        <v>9.67</v>
      </c>
      <c r="G58" s="2">
        <v>87.82</v>
      </c>
      <c r="H58" s="2">
        <v>4.8</v>
      </c>
      <c r="I58" s="2">
        <v>-16</v>
      </c>
      <c r="J58" s="4">
        <v>-100</v>
      </c>
    </row>
    <row r="59" spans="5:11" ht="19.2" x14ac:dyDescent="0.3">
      <c r="E59" s="2" t="s">
        <v>57</v>
      </c>
      <c r="F59" s="2">
        <v>9.68</v>
      </c>
      <c r="G59" s="2">
        <v>87.82</v>
      </c>
      <c r="H59" s="2">
        <v>4.8</v>
      </c>
      <c r="I59" s="2">
        <v>-19.5</v>
      </c>
      <c r="J59" s="4">
        <v>-101</v>
      </c>
    </row>
    <row r="60" spans="5:11" ht="19.2" x14ac:dyDescent="0.3">
      <c r="E60" s="2" t="s">
        <v>58</v>
      </c>
      <c r="F60" s="2">
        <v>9.67</v>
      </c>
      <c r="G60" s="2">
        <v>87.82</v>
      </c>
      <c r="H60" s="2">
        <v>4.8</v>
      </c>
      <c r="I60" s="2">
        <v>-12.25</v>
      </c>
      <c r="J60" s="4">
        <v>-100</v>
      </c>
      <c r="K60" t="s">
        <v>110</v>
      </c>
    </row>
    <row r="61" spans="5:11" ht="19.2" x14ac:dyDescent="0.3">
      <c r="E61" s="2" t="s">
        <v>59</v>
      </c>
      <c r="F61" s="2">
        <v>9.68</v>
      </c>
      <c r="G61" s="2">
        <v>87.82</v>
      </c>
      <c r="H61" s="2">
        <v>4.7699999999999996</v>
      </c>
      <c r="I61" s="2">
        <v>-14</v>
      </c>
      <c r="J61" s="4">
        <v>-101</v>
      </c>
    </row>
    <row r="62" spans="5:11" ht="19.2" x14ac:dyDescent="0.3">
      <c r="E62" s="2" t="s">
        <v>60</v>
      </c>
      <c r="F62" s="2">
        <v>9.69</v>
      </c>
      <c r="G62" s="2">
        <v>87.82</v>
      </c>
      <c r="H62" s="2">
        <v>4.8</v>
      </c>
      <c r="I62" s="2">
        <v>-11.5</v>
      </c>
      <c r="J62" s="4">
        <v>-100</v>
      </c>
    </row>
    <row r="63" spans="5:11" ht="19.2" x14ac:dyDescent="0.3">
      <c r="E63" s="2" t="s">
        <v>61</v>
      </c>
      <c r="F63" s="2">
        <v>9.6999999999999993</v>
      </c>
      <c r="G63" s="2">
        <v>87.82</v>
      </c>
      <c r="H63" s="2">
        <v>4.82</v>
      </c>
      <c r="I63" s="2">
        <v>16.75</v>
      </c>
      <c r="J63" s="4">
        <v>-101</v>
      </c>
    </row>
    <row r="64" spans="5:11" ht="19.2" x14ac:dyDescent="0.3">
      <c r="E64" s="2" t="s">
        <v>62</v>
      </c>
      <c r="F64" s="2">
        <v>9.6999999999999993</v>
      </c>
      <c r="G64" s="2">
        <v>87.82</v>
      </c>
      <c r="H64" s="2">
        <v>48</v>
      </c>
      <c r="I64" s="2">
        <v>-16.75</v>
      </c>
      <c r="J64" s="4">
        <v>-101</v>
      </c>
    </row>
    <row r="65" spans="5:10" ht="19.2" x14ac:dyDescent="0.3">
      <c r="E65" s="2" t="s">
        <v>63</v>
      </c>
      <c r="F65" s="2">
        <v>9.69</v>
      </c>
      <c r="G65" s="2">
        <v>87.82</v>
      </c>
      <c r="H65" s="2">
        <v>4.82</v>
      </c>
      <c r="I65" s="2">
        <v>-16.5</v>
      </c>
      <c r="J65" s="4">
        <v>-100</v>
      </c>
    </row>
    <row r="66" spans="5:10" ht="19.2" x14ac:dyDescent="0.3">
      <c r="E66" s="2" t="s">
        <v>64</v>
      </c>
      <c r="F66" s="2">
        <v>9.68</v>
      </c>
      <c r="G66" s="2">
        <v>87.82</v>
      </c>
      <c r="H66" s="2">
        <v>4.82</v>
      </c>
      <c r="I66" s="2">
        <v>-16.5</v>
      </c>
      <c r="J66" s="4">
        <v>-100</v>
      </c>
    </row>
    <row r="67" spans="5:10" ht="19.2" x14ac:dyDescent="0.3">
      <c r="E67" s="2" t="s">
        <v>65</v>
      </c>
      <c r="F67" s="2">
        <v>9.67</v>
      </c>
      <c r="G67" s="2">
        <v>87.82</v>
      </c>
      <c r="H67" s="2">
        <v>4.82</v>
      </c>
      <c r="I67" s="2">
        <v>-14.25</v>
      </c>
      <c r="J67" s="4">
        <v>-100</v>
      </c>
    </row>
    <row r="68" spans="5:10" ht="19.2" x14ac:dyDescent="0.3">
      <c r="E68" s="2" t="s">
        <v>66</v>
      </c>
      <c r="F68" s="2">
        <v>9.8000000000000007</v>
      </c>
      <c r="G68" s="2">
        <v>87.82</v>
      </c>
      <c r="H68" s="2">
        <v>4.88</v>
      </c>
      <c r="I68" s="2">
        <v>-14</v>
      </c>
      <c r="J68" s="4">
        <v>-101</v>
      </c>
    </row>
    <row r="69" spans="5:10" ht="19.2" x14ac:dyDescent="0.3">
      <c r="E69" s="2" t="s">
        <v>67</v>
      </c>
      <c r="F69" s="2">
        <v>9.8000000000000007</v>
      </c>
      <c r="G69" s="2">
        <v>87.82</v>
      </c>
      <c r="H69" s="2">
        <v>4.88</v>
      </c>
      <c r="I69" s="2">
        <v>-14</v>
      </c>
      <c r="J69" s="4">
        <v>-101</v>
      </c>
    </row>
    <row r="70" spans="5:10" ht="19.2" x14ac:dyDescent="0.3">
      <c r="E70" s="2" t="s">
        <v>68</v>
      </c>
      <c r="F70" s="2">
        <v>9.7100000000000009</v>
      </c>
      <c r="G70" s="2">
        <v>87.82</v>
      </c>
      <c r="H70" s="2">
        <v>4.99</v>
      </c>
      <c r="I70" s="2">
        <v>-12.75</v>
      </c>
      <c r="J70" s="4">
        <v>-101</v>
      </c>
    </row>
    <row r="71" spans="5:10" ht="19.2" x14ac:dyDescent="0.3">
      <c r="E71" s="2" t="s">
        <v>69</v>
      </c>
      <c r="F71" s="2">
        <v>9.67</v>
      </c>
      <c r="G71" s="2">
        <v>87.82</v>
      </c>
      <c r="H71" s="2">
        <v>5.03</v>
      </c>
      <c r="I71" s="2">
        <v>-11.5</v>
      </c>
      <c r="J71" s="4">
        <v>-102</v>
      </c>
    </row>
    <row r="72" spans="5:10" ht="19.2" x14ac:dyDescent="0.3">
      <c r="E72" s="2" t="s">
        <v>70</v>
      </c>
      <c r="F72" s="2">
        <v>9.67</v>
      </c>
      <c r="G72" s="2">
        <v>87.82</v>
      </c>
      <c r="H72" s="2">
        <v>5.09</v>
      </c>
      <c r="I72" s="2">
        <v>-13</v>
      </c>
      <c r="J72" s="4">
        <v>-100</v>
      </c>
    </row>
    <row r="73" spans="5:10" ht="19.2" x14ac:dyDescent="0.3">
      <c r="E73" s="2" t="s">
        <v>71</v>
      </c>
      <c r="F73" s="2">
        <v>9.67</v>
      </c>
      <c r="G73" s="2">
        <v>87.82</v>
      </c>
      <c r="H73" s="2">
        <v>5.1100000000000003</v>
      </c>
      <c r="I73" s="2">
        <v>-15.25</v>
      </c>
      <c r="J73" s="4">
        <v>-102</v>
      </c>
    </row>
    <row r="74" spans="5:10" ht="19.2" x14ac:dyDescent="0.3">
      <c r="E74" s="2" t="s">
        <v>72</v>
      </c>
      <c r="F74" s="2">
        <v>9.69</v>
      </c>
      <c r="G74" s="2">
        <v>87.82</v>
      </c>
      <c r="H74" s="2">
        <v>5.09</v>
      </c>
      <c r="I74" s="2">
        <v>-16.25</v>
      </c>
      <c r="J74" s="4">
        <v>-102</v>
      </c>
    </row>
    <row r="75" spans="5:10" ht="19.2" x14ac:dyDescent="0.3">
      <c r="E75" s="2" t="s">
        <v>73</v>
      </c>
      <c r="F75" s="2">
        <v>9.66</v>
      </c>
      <c r="G75" s="2">
        <v>87.82</v>
      </c>
      <c r="H75" s="2">
        <v>5.09</v>
      </c>
      <c r="I75" s="2">
        <v>-12</v>
      </c>
      <c r="J75" s="4">
        <v>-101</v>
      </c>
    </row>
    <row r="76" spans="5:10" ht="19.2" x14ac:dyDescent="0.3">
      <c r="E76" s="2" t="s">
        <v>74</v>
      </c>
      <c r="F76" s="2">
        <v>9.67</v>
      </c>
      <c r="G76" s="2">
        <v>87.82</v>
      </c>
      <c r="H76" s="2">
        <v>5.07</v>
      </c>
      <c r="I76" s="2">
        <v>-16</v>
      </c>
      <c r="J76" s="4">
        <v>-103</v>
      </c>
    </row>
    <row r="77" spans="5:10" ht="19.2" x14ac:dyDescent="0.3">
      <c r="E77" s="2" t="s">
        <v>75</v>
      </c>
      <c r="F77" s="2">
        <v>9.67</v>
      </c>
      <c r="G77" s="2">
        <v>87.82</v>
      </c>
      <c r="H77" s="2">
        <v>5.05</v>
      </c>
      <c r="I77" s="2">
        <v>-11.25</v>
      </c>
      <c r="J77" s="4">
        <v>-101</v>
      </c>
    </row>
    <row r="78" spans="5:10" ht="19.2" x14ac:dyDescent="0.3">
      <c r="E78" s="2" t="s">
        <v>76</v>
      </c>
      <c r="F78" s="2">
        <v>9.68</v>
      </c>
      <c r="G78" s="2">
        <v>87.82</v>
      </c>
      <c r="H78" s="2">
        <v>5.01</v>
      </c>
      <c r="I78" s="2">
        <v>-13</v>
      </c>
      <c r="J78" s="4">
        <v>-101</v>
      </c>
    </row>
    <row r="79" spans="5:10" ht="19.2" x14ac:dyDescent="0.3">
      <c r="E79" s="2" t="s">
        <v>77</v>
      </c>
      <c r="F79" s="2">
        <v>9.67</v>
      </c>
      <c r="G79" s="2">
        <v>87.82</v>
      </c>
      <c r="H79" s="2">
        <v>5.01</v>
      </c>
      <c r="I79" s="2">
        <v>-15</v>
      </c>
      <c r="J79" s="4">
        <v>-101</v>
      </c>
    </row>
    <row r="80" spans="5:10" ht="19.2" x14ac:dyDescent="0.3">
      <c r="E80" s="2" t="s">
        <v>78</v>
      </c>
      <c r="F80" s="2">
        <v>9.69</v>
      </c>
      <c r="G80" s="2">
        <v>87.82</v>
      </c>
      <c r="H80" s="2">
        <v>4.97</v>
      </c>
      <c r="I80" s="2">
        <v>-13.75</v>
      </c>
      <c r="J80" s="4">
        <v>-102</v>
      </c>
    </row>
    <row r="81" spans="5:10" ht="19.2" x14ac:dyDescent="0.3">
      <c r="E81" s="2" t="s">
        <v>79</v>
      </c>
      <c r="F81" s="2">
        <v>9.6999999999999993</v>
      </c>
      <c r="G81" s="2">
        <v>87.82</v>
      </c>
      <c r="H81" s="2">
        <v>4.9400000000000004</v>
      </c>
      <c r="I81" s="2">
        <v>-20.25</v>
      </c>
      <c r="J81" s="4">
        <v>-102</v>
      </c>
    </row>
    <row r="82" spans="5:10" ht="19.2" x14ac:dyDescent="0.3">
      <c r="E82" s="2" t="s">
        <v>80</v>
      </c>
      <c r="F82" s="2">
        <v>9.69</v>
      </c>
      <c r="G82" s="2">
        <v>87.82</v>
      </c>
      <c r="H82" s="2">
        <v>4.97</v>
      </c>
      <c r="I82" s="2">
        <v>-15</v>
      </c>
      <c r="J82" s="4">
        <v>-103</v>
      </c>
    </row>
    <row r="83" spans="5:10" ht="19.2" x14ac:dyDescent="0.3">
      <c r="E83" s="2" t="s">
        <v>81</v>
      </c>
      <c r="F83" s="2">
        <v>9.7200000000000006</v>
      </c>
      <c r="G83" s="2">
        <v>87.82</v>
      </c>
      <c r="H83" s="2">
        <v>4.9400000000000004</v>
      </c>
      <c r="I83" s="2">
        <v>-14.75</v>
      </c>
      <c r="J83" s="4">
        <v>-103</v>
      </c>
    </row>
    <row r="84" spans="5:10" ht="19.2" x14ac:dyDescent="0.3">
      <c r="E84" s="2" t="s">
        <v>82</v>
      </c>
      <c r="F84" s="2">
        <v>9.67</v>
      </c>
      <c r="G84" s="2">
        <v>87.82</v>
      </c>
      <c r="H84" s="2">
        <v>4.9400000000000004</v>
      </c>
      <c r="I84" s="2">
        <v>-18.75</v>
      </c>
      <c r="J84" s="4">
        <v>-104</v>
      </c>
    </row>
    <row r="85" spans="5:10" ht="19.2" x14ac:dyDescent="0.3">
      <c r="E85" s="2" t="s">
        <v>83</v>
      </c>
      <c r="F85" s="2">
        <v>9.64</v>
      </c>
      <c r="G85" s="2">
        <v>87.82</v>
      </c>
      <c r="H85" s="2">
        <v>4.97</v>
      </c>
      <c r="I85" s="2">
        <v>-15.5</v>
      </c>
      <c r="J85" s="4">
        <v>-102</v>
      </c>
    </row>
    <row r="86" spans="5:10" ht="19.2" x14ac:dyDescent="0.3">
      <c r="E86" s="2" t="s">
        <v>84</v>
      </c>
      <c r="F86" s="2"/>
      <c r="G86" s="2"/>
      <c r="H86" s="2"/>
      <c r="I86" s="2"/>
      <c r="J86" s="4"/>
    </row>
    <row r="87" spans="5:10" ht="19.2" x14ac:dyDescent="0.3">
      <c r="E87" s="2" t="s">
        <v>85</v>
      </c>
      <c r="F87" s="2">
        <v>9.67</v>
      </c>
      <c r="G87" s="2">
        <v>87.82</v>
      </c>
      <c r="H87" s="2">
        <v>4.97</v>
      </c>
      <c r="I87" s="2">
        <v>-14.5</v>
      </c>
      <c r="J87" s="4">
        <v>-103</v>
      </c>
    </row>
    <row r="88" spans="5:10" ht="19.2" x14ac:dyDescent="0.3">
      <c r="E88" s="2" t="s">
        <v>86</v>
      </c>
      <c r="F88" s="2">
        <v>9.65</v>
      </c>
      <c r="G88" s="2">
        <v>87.82</v>
      </c>
      <c r="H88" s="2">
        <v>4.97</v>
      </c>
      <c r="I88" s="2">
        <v>-14.75</v>
      </c>
      <c r="J88" s="4">
        <v>-105</v>
      </c>
    </row>
    <row r="89" spans="5:10" ht="19.2" x14ac:dyDescent="0.3">
      <c r="E89" s="2" t="s">
        <v>87</v>
      </c>
      <c r="F89" s="2">
        <v>9.66</v>
      </c>
      <c r="G89" s="2">
        <v>87.82</v>
      </c>
      <c r="H89" s="2">
        <v>4.97</v>
      </c>
      <c r="I89" s="2">
        <v>-13.75</v>
      </c>
      <c r="J89" s="4">
        <v>-101</v>
      </c>
    </row>
    <row r="90" spans="5:10" ht="19.2" x14ac:dyDescent="0.3">
      <c r="E90" s="2" t="s">
        <v>88</v>
      </c>
      <c r="F90" s="2">
        <v>9.67</v>
      </c>
      <c r="G90" s="2">
        <v>87.82</v>
      </c>
      <c r="H90" s="2">
        <v>4.97</v>
      </c>
      <c r="I90" s="2">
        <v>-13.5</v>
      </c>
      <c r="J90" s="4">
        <v>-102</v>
      </c>
    </row>
    <row r="91" spans="5:10" ht="19.2" x14ac:dyDescent="0.3">
      <c r="E91" s="2" t="s">
        <v>89</v>
      </c>
      <c r="F91" s="2">
        <v>9.66</v>
      </c>
      <c r="G91" s="2">
        <v>87.82</v>
      </c>
      <c r="H91" s="2">
        <v>4.97</v>
      </c>
      <c r="I91" s="2">
        <v>-13.25</v>
      </c>
      <c r="J91" s="4">
        <v>-101</v>
      </c>
    </row>
    <row r="92" spans="5:10" ht="19.2" x14ac:dyDescent="0.3">
      <c r="E92" s="2" t="s">
        <v>90</v>
      </c>
      <c r="F92" s="2">
        <v>9.67</v>
      </c>
      <c r="G92" s="2">
        <v>87.82</v>
      </c>
      <c r="H92" s="2">
        <v>4.99</v>
      </c>
      <c r="I92" s="2">
        <v>-12.25</v>
      </c>
      <c r="J92" s="4">
        <v>-101</v>
      </c>
    </row>
    <row r="93" spans="5:10" ht="19.2" x14ac:dyDescent="0.3">
      <c r="E93" s="2" t="s">
        <v>91</v>
      </c>
      <c r="F93" s="2">
        <v>9.65</v>
      </c>
      <c r="G93" s="2">
        <v>87.82</v>
      </c>
      <c r="H93" s="2">
        <v>4.99</v>
      </c>
      <c r="I93" s="2">
        <v>-16</v>
      </c>
      <c r="J93" s="4">
        <v>-102</v>
      </c>
    </row>
    <row r="94" spans="5:10" ht="19.2" x14ac:dyDescent="0.3">
      <c r="E94" s="2" t="s">
        <v>92</v>
      </c>
      <c r="F94" s="2">
        <v>9.67</v>
      </c>
      <c r="G94" s="2">
        <v>87.82</v>
      </c>
      <c r="H94" s="2">
        <v>4.97</v>
      </c>
      <c r="I94" s="2">
        <v>-16</v>
      </c>
      <c r="J94" s="4">
        <v>-101</v>
      </c>
    </row>
    <row r="95" spans="5:10" ht="19.2" x14ac:dyDescent="0.3">
      <c r="E95" s="2" t="s">
        <v>93</v>
      </c>
      <c r="F95" s="2">
        <v>9.65</v>
      </c>
      <c r="G95" s="2">
        <v>87.82</v>
      </c>
      <c r="H95" s="2">
        <v>4.99</v>
      </c>
      <c r="I95" s="2">
        <v>-14.5</v>
      </c>
      <c r="J95" s="4">
        <v>-100</v>
      </c>
    </row>
    <row r="96" spans="5:10" ht="19.2" x14ac:dyDescent="0.3">
      <c r="E96" s="2" t="s">
        <v>94</v>
      </c>
      <c r="F96" s="2">
        <v>9.67</v>
      </c>
      <c r="G96" s="2">
        <v>87.82</v>
      </c>
      <c r="H96" s="2">
        <v>4.99</v>
      </c>
      <c r="I96" s="2">
        <v>-11.5</v>
      </c>
      <c r="J96" s="4">
        <v>-100</v>
      </c>
    </row>
    <row r="97" spans="5:10" ht="19.2" x14ac:dyDescent="0.3">
      <c r="E97" s="2" t="s">
        <v>95</v>
      </c>
      <c r="F97" s="2">
        <v>9.67</v>
      </c>
      <c r="G97" s="2">
        <v>87.82</v>
      </c>
      <c r="H97" s="2">
        <v>4.99</v>
      </c>
      <c r="I97" s="2">
        <v>-11.5</v>
      </c>
      <c r="J97" s="4">
        <v>-100</v>
      </c>
    </row>
    <row r="98" spans="5:10" ht="19.2" x14ac:dyDescent="0.3">
      <c r="E98" s="2" t="s">
        <v>96</v>
      </c>
      <c r="F98" s="2">
        <v>9.67</v>
      </c>
      <c r="G98" s="2">
        <v>87.82</v>
      </c>
      <c r="H98" s="2">
        <v>5.01</v>
      </c>
      <c r="I98" s="2">
        <v>-17</v>
      </c>
      <c r="J98" s="4">
        <v>-10</v>
      </c>
    </row>
    <row r="99" spans="5:10" ht="19.2" x14ac:dyDescent="0.3">
      <c r="E99" s="2" t="s">
        <v>97</v>
      </c>
      <c r="F99" s="2">
        <v>9.65</v>
      </c>
      <c r="G99" s="2">
        <v>87.82</v>
      </c>
      <c r="H99" s="2">
        <v>5.01</v>
      </c>
      <c r="I99" s="2">
        <v>-12.25</v>
      </c>
      <c r="J99" s="4">
        <v>-100</v>
      </c>
    </row>
    <row r="100" spans="5:10" ht="19.2" x14ac:dyDescent="0.3">
      <c r="E100" s="2" t="s">
        <v>98</v>
      </c>
      <c r="F100" s="2">
        <v>9.64</v>
      </c>
      <c r="G100" s="2">
        <v>87.82</v>
      </c>
      <c r="H100" s="2">
        <v>5.01</v>
      </c>
      <c r="I100" s="2">
        <v>-14</v>
      </c>
      <c r="J100" s="4">
        <v>-101</v>
      </c>
    </row>
    <row r="101" spans="5:10" ht="19.2" x14ac:dyDescent="0.3">
      <c r="E101" s="2" t="s">
        <v>100</v>
      </c>
      <c r="F101" s="2"/>
      <c r="G101" s="2"/>
      <c r="H101" s="2"/>
      <c r="I101" s="2"/>
      <c r="J101" s="4"/>
    </row>
    <row r="102" spans="5:10" ht="19.2" x14ac:dyDescent="0.3">
      <c r="E102" s="2" t="s">
        <v>101</v>
      </c>
      <c r="F102" s="2">
        <v>9.65</v>
      </c>
      <c r="G102" s="2">
        <v>87.82</v>
      </c>
      <c r="H102" s="2">
        <v>5.03</v>
      </c>
      <c r="I102" s="2">
        <v>-17.25</v>
      </c>
      <c r="J102" s="4">
        <v>-99</v>
      </c>
    </row>
    <row r="103" spans="5:10" ht="19.2" x14ac:dyDescent="0.3">
      <c r="E103" s="2" t="s">
        <v>102</v>
      </c>
      <c r="F103" s="2">
        <v>9.68</v>
      </c>
      <c r="G103" s="2">
        <v>87.82</v>
      </c>
      <c r="H103" s="2">
        <v>5.03</v>
      </c>
      <c r="I103" s="2">
        <v>-15.75</v>
      </c>
      <c r="J103" s="4">
        <v>-100</v>
      </c>
    </row>
    <row r="104" spans="5:10" ht="19.2" x14ac:dyDescent="0.3">
      <c r="E104" s="2" t="s">
        <v>103</v>
      </c>
      <c r="F104" s="2">
        <v>9.67</v>
      </c>
      <c r="G104" s="2">
        <v>87.82</v>
      </c>
      <c r="H104" s="2">
        <v>5.03</v>
      </c>
      <c r="I104" s="2">
        <v>-17</v>
      </c>
      <c r="J104" s="4">
        <v>-99</v>
      </c>
    </row>
  </sheetData>
  <mergeCells count="1">
    <mergeCell ref="E3:J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00B8-CAB3-42DE-87DD-255ADE883AC5}">
  <dimension ref="C1:I104"/>
  <sheetViews>
    <sheetView zoomScale="102" workbookViewId="0">
      <selection activeCell="E15" sqref="E15:G15"/>
    </sheetView>
  </sheetViews>
  <sheetFormatPr defaultRowHeight="14.4" x14ac:dyDescent="0.3"/>
  <cols>
    <col min="4" max="4" width="17.109375" bestFit="1" customWidth="1"/>
    <col min="5" max="5" width="21.109375" customWidth="1"/>
    <col min="6" max="6" width="12.6640625" customWidth="1"/>
    <col min="7" max="7" width="14.21875" customWidth="1"/>
    <col min="8" max="8" width="10.21875" bestFit="1" customWidth="1"/>
    <col min="9" max="9" width="22" customWidth="1"/>
  </cols>
  <sheetData>
    <row r="1" spans="3:9" x14ac:dyDescent="0.3">
      <c r="C1" t="s">
        <v>121</v>
      </c>
    </row>
    <row r="3" spans="3:9" ht="38.4" x14ac:dyDescent="0.3">
      <c r="C3" s="18" t="s">
        <v>116</v>
      </c>
      <c r="D3" s="18"/>
      <c r="E3" s="18"/>
      <c r="F3" s="18"/>
      <c r="G3" s="18"/>
      <c r="H3" s="11"/>
    </row>
    <row r="4" spans="3:9" ht="44.4" x14ac:dyDescent="0.3">
      <c r="C4" s="1" t="s">
        <v>2</v>
      </c>
      <c r="D4" s="1" t="s">
        <v>117</v>
      </c>
      <c r="E4" s="1" t="s">
        <v>118</v>
      </c>
      <c r="F4" s="3" t="s">
        <v>119</v>
      </c>
      <c r="G4" s="1" t="s">
        <v>120</v>
      </c>
      <c r="H4" s="12" t="s">
        <v>109</v>
      </c>
      <c r="I4" s="10"/>
    </row>
    <row r="5" spans="3:9" ht="19.2" x14ac:dyDescent="0.3">
      <c r="C5" s="2" t="s">
        <v>3</v>
      </c>
      <c r="D5" s="2">
        <v>7.52</v>
      </c>
      <c r="E5" s="2">
        <v>7.47</v>
      </c>
      <c r="F5" s="2">
        <f>ABS(D5-E5)</f>
        <v>4.9999999999999822E-2</v>
      </c>
      <c r="G5" s="2">
        <f>(D5-E5)^2</f>
        <v>2.4999999999999823E-3</v>
      </c>
      <c r="H5" s="13"/>
    </row>
    <row r="6" spans="3:9" ht="19.2" x14ac:dyDescent="0.3">
      <c r="C6" s="2" t="s">
        <v>4</v>
      </c>
      <c r="D6" s="2">
        <v>7.41</v>
      </c>
      <c r="E6" s="2">
        <v>7.43</v>
      </c>
      <c r="F6" s="2">
        <f t="shared" ref="F6:F14" si="0">ABS(D6-E6)</f>
        <v>1.9999999999999574E-2</v>
      </c>
      <c r="G6" s="2">
        <f t="shared" ref="G6:G14" si="1">(D6-E6)^2</f>
        <v>3.9999999999998294E-4</v>
      </c>
      <c r="H6" s="13"/>
    </row>
    <row r="7" spans="3:9" ht="19.2" x14ac:dyDescent="0.3">
      <c r="C7" s="2" t="s">
        <v>5</v>
      </c>
      <c r="D7" s="2">
        <v>7.35</v>
      </c>
      <c r="E7" s="2">
        <v>7.39</v>
      </c>
      <c r="F7" s="2">
        <f t="shared" si="0"/>
        <v>4.0000000000000036E-2</v>
      </c>
      <c r="G7" s="2">
        <f t="shared" si="1"/>
        <v>1.6000000000000029E-3</v>
      </c>
      <c r="H7" s="13"/>
    </row>
    <row r="8" spans="3:9" ht="19.2" x14ac:dyDescent="0.3">
      <c r="C8" s="2" t="s">
        <v>6</v>
      </c>
      <c r="D8" s="2">
        <v>7.47</v>
      </c>
      <c r="E8" s="2">
        <v>7.43</v>
      </c>
      <c r="F8" s="2">
        <f t="shared" si="0"/>
        <v>4.0000000000000036E-2</v>
      </c>
      <c r="G8" s="2">
        <f t="shared" si="1"/>
        <v>1.6000000000000029E-3</v>
      </c>
      <c r="H8" s="13"/>
    </row>
    <row r="9" spans="3:9" ht="19.2" x14ac:dyDescent="0.3">
      <c r="C9" s="2" t="s">
        <v>7</v>
      </c>
      <c r="D9" s="2">
        <v>7.42</v>
      </c>
      <c r="E9" s="2">
        <v>7.51</v>
      </c>
      <c r="F9" s="2">
        <f t="shared" si="0"/>
        <v>8.9999999999999858E-2</v>
      </c>
      <c r="G9" s="2">
        <f t="shared" si="1"/>
        <v>8.0999999999999753E-3</v>
      </c>
      <c r="H9" s="13"/>
    </row>
    <row r="10" spans="3:9" ht="19.2" x14ac:dyDescent="0.3">
      <c r="C10" s="2" t="s">
        <v>8</v>
      </c>
      <c r="D10" s="2">
        <v>7.45</v>
      </c>
      <c r="E10" s="2">
        <v>7.43</v>
      </c>
      <c r="F10" s="2">
        <f t="shared" si="0"/>
        <v>2.0000000000000462E-2</v>
      </c>
      <c r="G10" s="2">
        <f t="shared" si="1"/>
        <v>4.0000000000001845E-4</v>
      </c>
      <c r="H10" s="13"/>
    </row>
    <row r="11" spans="3:9" ht="19.2" x14ac:dyDescent="0.3">
      <c r="C11" s="2" t="s">
        <v>9</v>
      </c>
      <c r="D11" s="2">
        <v>7.41</v>
      </c>
      <c r="E11" s="2">
        <v>7.49</v>
      </c>
      <c r="F11" s="2">
        <f t="shared" si="0"/>
        <v>8.0000000000000071E-2</v>
      </c>
      <c r="G11" s="2">
        <f t="shared" si="1"/>
        <v>6.4000000000000116E-3</v>
      </c>
      <c r="H11" s="13"/>
    </row>
    <row r="12" spans="3:9" ht="19.2" x14ac:dyDescent="0.3">
      <c r="C12" s="2" t="s">
        <v>10</v>
      </c>
      <c r="D12" s="2">
        <v>7.33</v>
      </c>
      <c r="E12" s="2">
        <v>7.38</v>
      </c>
      <c r="F12" s="2">
        <f t="shared" si="0"/>
        <v>4.9999999999999822E-2</v>
      </c>
      <c r="G12" s="2">
        <f t="shared" si="1"/>
        <v>2.4999999999999823E-3</v>
      </c>
      <c r="H12" s="13"/>
    </row>
    <row r="13" spans="3:9" ht="19.2" x14ac:dyDescent="0.3">
      <c r="C13" s="2" t="s">
        <v>11</v>
      </c>
      <c r="D13" s="2">
        <v>7.47</v>
      </c>
      <c r="E13" s="2">
        <v>7.53</v>
      </c>
      <c r="F13" s="2">
        <f t="shared" si="0"/>
        <v>6.0000000000000497E-2</v>
      </c>
      <c r="G13" s="2">
        <f t="shared" si="1"/>
        <v>3.6000000000000597E-3</v>
      </c>
      <c r="H13" s="13"/>
    </row>
    <row r="14" spans="3:9" ht="19.2" x14ac:dyDescent="0.3">
      <c r="C14" s="2" t="s">
        <v>12</v>
      </c>
      <c r="D14" s="2">
        <v>7.42</v>
      </c>
      <c r="E14" s="2">
        <v>7.39</v>
      </c>
      <c r="F14" s="2">
        <f t="shared" si="0"/>
        <v>3.0000000000000249E-2</v>
      </c>
      <c r="G14" s="2">
        <f t="shared" si="1"/>
        <v>9.0000000000001494E-4</v>
      </c>
      <c r="H14" s="13"/>
    </row>
    <row r="15" spans="3:9" ht="19.2" x14ac:dyDescent="0.3">
      <c r="C15" s="8"/>
      <c r="D15" s="8"/>
      <c r="E15" s="14" t="s">
        <v>124</v>
      </c>
      <c r="F15" s="15">
        <f>AVERAGE(F5:F14)</f>
        <v>4.8000000000000043E-2</v>
      </c>
      <c r="G15" s="15">
        <f>SQRT(AVERAGE(G5:G14))</f>
        <v>5.2915026221291843E-2</v>
      </c>
      <c r="H15" s="9"/>
    </row>
    <row r="16" spans="3:9" ht="19.2" x14ac:dyDescent="0.3">
      <c r="C16" s="8"/>
      <c r="D16" s="8"/>
      <c r="E16" s="8"/>
      <c r="F16" s="8"/>
      <c r="G16" s="8"/>
      <c r="H16" s="9"/>
    </row>
    <row r="17" spans="3:8" ht="19.2" x14ac:dyDescent="0.3">
      <c r="C17" s="8"/>
      <c r="D17" s="8"/>
      <c r="E17" s="8"/>
      <c r="F17" s="8"/>
      <c r="G17" s="8"/>
      <c r="H17" s="9"/>
    </row>
    <row r="18" spans="3:8" ht="19.2" x14ac:dyDescent="0.3">
      <c r="C18" s="8"/>
      <c r="D18" s="8"/>
      <c r="E18" s="8"/>
      <c r="F18" s="8"/>
      <c r="G18" s="8"/>
      <c r="H18" s="9"/>
    </row>
    <row r="19" spans="3:8" ht="19.2" x14ac:dyDescent="0.3">
      <c r="C19" s="8"/>
      <c r="D19" s="8"/>
      <c r="E19" s="8"/>
      <c r="F19" s="8"/>
      <c r="G19" s="8"/>
      <c r="H19" s="9"/>
    </row>
    <row r="20" spans="3:8" ht="19.2" x14ac:dyDescent="0.3">
      <c r="C20" s="8"/>
      <c r="D20" s="8"/>
      <c r="E20" s="8"/>
      <c r="F20" s="8"/>
      <c r="G20" s="8"/>
      <c r="H20" s="9"/>
    </row>
    <row r="21" spans="3:8" ht="19.2" x14ac:dyDescent="0.3">
      <c r="C21" s="8"/>
      <c r="D21" s="8"/>
      <c r="E21" s="8"/>
      <c r="F21" s="8"/>
      <c r="G21" s="8"/>
      <c r="H21" s="9"/>
    </row>
    <row r="22" spans="3:8" ht="19.2" x14ac:dyDescent="0.3">
      <c r="C22" s="8"/>
      <c r="D22" s="8"/>
      <c r="E22" s="8"/>
      <c r="F22" s="8"/>
      <c r="G22" s="8"/>
      <c r="H22" s="9"/>
    </row>
    <row r="23" spans="3:8" ht="19.2" x14ac:dyDescent="0.3">
      <c r="C23" s="8"/>
      <c r="D23" s="8"/>
      <c r="E23" s="8"/>
      <c r="F23" s="8"/>
      <c r="G23" s="8"/>
      <c r="H23" s="9"/>
    </row>
    <row r="24" spans="3:8" ht="19.2" x14ac:dyDescent="0.3">
      <c r="C24" s="8"/>
      <c r="D24" s="8"/>
      <c r="E24" s="8"/>
      <c r="F24" s="8"/>
      <c r="G24" s="8"/>
      <c r="H24" s="9"/>
    </row>
    <row r="25" spans="3:8" ht="19.2" x14ac:dyDescent="0.3">
      <c r="C25" s="8"/>
      <c r="D25" s="8"/>
      <c r="E25" s="8"/>
      <c r="F25" s="8"/>
      <c r="G25" s="8"/>
      <c r="H25" s="9"/>
    </row>
    <row r="26" spans="3:8" ht="19.2" x14ac:dyDescent="0.3">
      <c r="C26" s="8"/>
      <c r="D26" s="8"/>
      <c r="E26" s="8"/>
      <c r="F26" s="8"/>
      <c r="G26" s="8"/>
      <c r="H26" s="9"/>
    </row>
    <row r="27" spans="3:8" ht="19.2" x14ac:dyDescent="0.3">
      <c r="C27" s="8"/>
      <c r="D27" s="8"/>
      <c r="E27" s="8"/>
      <c r="F27" s="8"/>
      <c r="G27" s="8"/>
      <c r="H27" s="9"/>
    </row>
    <row r="28" spans="3:8" ht="19.2" x14ac:dyDescent="0.3">
      <c r="C28" s="8"/>
      <c r="D28" s="8"/>
      <c r="E28" s="8"/>
      <c r="F28" s="8"/>
      <c r="G28" s="8"/>
      <c r="H28" s="9"/>
    </row>
    <row r="29" spans="3:8" ht="19.2" x14ac:dyDescent="0.3">
      <c r="C29" s="8"/>
      <c r="D29" s="8"/>
      <c r="E29" s="8"/>
      <c r="F29" s="8"/>
      <c r="G29" s="8"/>
      <c r="H29" s="9"/>
    </row>
    <row r="30" spans="3:8" ht="19.2" x14ac:dyDescent="0.3">
      <c r="C30" s="8"/>
      <c r="D30" s="8"/>
      <c r="E30" s="8"/>
      <c r="F30" s="8"/>
      <c r="G30" s="8"/>
      <c r="H30" s="9"/>
    </row>
    <row r="31" spans="3:8" ht="19.2" x14ac:dyDescent="0.3">
      <c r="C31" s="8"/>
      <c r="D31" s="8"/>
      <c r="E31" s="8"/>
      <c r="F31" s="8"/>
      <c r="G31" s="8"/>
      <c r="H31" s="9"/>
    </row>
    <row r="32" spans="3:8" ht="19.2" x14ac:dyDescent="0.3">
      <c r="C32" s="8"/>
      <c r="D32" s="8"/>
      <c r="E32" s="8"/>
      <c r="F32" s="8"/>
      <c r="G32" s="8"/>
      <c r="H32" s="9"/>
    </row>
    <row r="33" spans="3:8" ht="19.2" x14ac:dyDescent="0.3">
      <c r="C33" s="8"/>
      <c r="D33" s="8"/>
      <c r="E33" s="8"/>
      <c r="F33" s="8"/>
      <c r="G33" s="8"/>
      <c r="H33" s="9"/>
    </row>
    <row r="34" spans="3:8" ht="19.2" x14ac:dyDescent="0.3">
      <c r="C34" s="8"/>
      <c r="D34" s="8"/>
      <c r="E34" s="8"/>
      <c r="F34" s="8"/>
      <c r="G34" s="8"/>
      <c r="H34" s="9"/>
    </row>
    <row r="35" spans="3:8" ht="19.2" x14ac:dyDescent="0.3">
      <c r="C35" s="8"/>
      <c r="D35" s="8"/>
      <c r="E35" s="8"/>
      <c r="F35" s="8"/>
      <c r="G35" s="8"/>
      <c r="H35" s="9"/>
    </row>
    <row r="36" spans="3:8" ht="19.2" x14ac:dyDescent="0.3">
      <c r="C36" s="8"/>
      <c r="D36" s="8"/>
      <c r="E36" s="8"/>
      <c r="F36" s="8"/>
      <c r="G36" s="8"/>
      <c r="H36" s="9"/>
    </row>
    <row r="37" spans="3:8" ht="19.2" x14ac:dyDescent="0.3">
      <c r="C37" s="8"/>
      <c r="D37" s="8"/>
      <c r="E37" s="8"/>
      <c r="F37" s="8"/>
      <c r="G37" s="8"/>
      <c r="H37" s="9"/>
    </row>
    <row r="38" spans="3:8" ht="19.2" x14ac:dyDescent="0.3">
      <c r="C38" s="8"/>
      <c r="D38" s="8"/>
      <c r="E38" s="8"/>
      <c r="F38" s="8"/>
      <c r="G38" s="8"/>
      <c r="H38" s="9"/>
    </row>
    <row r="39" spans="3:8" ht="19.2" x14ac:dyDescent="0.3">
      <c r="C39" s="8"/>
      <c r="D39" s="8"/>
      <c r="E39" s="8"/>
      <c r="F39" s="8"/>
      <c r="G39" s="8"/>
      <c r="H39" s="9"/>
    </row>
    <row r="40" spans="3:8" ht="19.2" x14ac:dyDescent="0.3">
      <c r="C40" s="8"/>
      <c r="D40" s="8"/>
      <c r="E40" s="8"/>
      <c r="F40" s="8"/>
      <c r="G40" s="8"/>
      <c r="H40" s="9"/>
    </row>
    <row r="41" spans="3:8" ht="19.2" x14ac:dyDescent="0.3">
      <c r="C41" s="8"/>
      <c r="D41" s="8"/>
      <c r="E41" s="8"/>
      <c r="F41" s="8"/>
      <c r="G41" s="8"/>
      <c r="H41" s="9"/>
    </row>
    <row r="42" spans="3:8" ht="19.2" x14ac:dyDescent="0.3">
      <c r="C42" s="8"/>
      <c r="D42" s="8"/>
      <c r="E42" s="8"/>
      <c r="F42" s="8"/>
      <c r="G42" s="8"/>
      <c r="H42" s="9"/>
    </row>
    <row r="43" spans="3:8" ht="19.2" x14ac:dyDescent="0.3">
      <c r="C43" s="8"/>
      <c r="D43" s="8"/>
      <c r="E43" s="8"/>
      <c r="F43" s="8"/>
      <c r="G43" s="8"/>
      <c r="H43" s="9"/>
    </row>
    <row r="44" spans="3:8" ht="19.2" x14ac:dyDescent="0.3">
      <c r="C44" s="8"/>
      <c r="D44" s="8"/>
      <c r="E44" s="8"/>
      <c r="F44" s="8"/>
      <c r="G44" s="8"/>
      <c r="H44" s="9"/>
    </row>
    <row r="45" spans="3:8" ht="19.2" x14ac:dyDescent="0.3">
      <c r="C45" s="8"/>
      <c r="D45" s="8"/>
      <c r="E45" s="8"/>
      <c r="F45" s="8"/>
      <c r="G45" s="8"/>
      <c r="H45" s="9"/>
    </row>
    <row r="46" spans="3:8" ht="19.2" x14ac:dyDescent="0.3">
      <c r="C46" s="8"/>
      <c r="D46" s="8"/>
      <c r="E46" s="8"/>
      <c r="F46" s="8"/>
      <c r="G46" s="8"/>
      <c r="H46" s="9"/>
    </row>
    <row r="47" spans="3:8" ht="19.2" x14ac:dyDescent="0.3">
      <c r="C47" s="8"/>
      <c r="D47" s="8"/>
      <c r="E47" s="8"/>
      <c r="F47" s="8"/>
      <c r="G47" s="8"/>
      <c r="H47" s="9"/>
    </row>
    <row r="48" spans="3:8" ht="19.2" x14ac:dyDescent="0.3">
      <c r="C48" s="8"/>
      <c r="D48" s="8"/>
      <c r="E48" s="8"/>
      <c r="F48" s="8"/>
      <c r="G48" s="8"/>
      <c r="H48" s="9"/>
    </row>
    <row r="49" spans="3:9" ht="19.2" x14ac:dyDescent="0.3">
      <c r="C49" s="8"/>
      <c r="D49" s="8"/>
      <c r="E49" s="8"/>
      <c r="F49" s="8"/>
      <c r="G49" s="8"/>
      <c r="H49" s="9"/>
    </row>
    <row r="50" spans="3:9" ht="19.2" x14ac:dyDescent="0.3">
      <c r="C50" s="8"/>
      <c r="D50" s="8"/>
      <c r="E50" s="8"/>
      <c r="F50" s="8"/>
      <c r="G50" s="8"/>
      <c r="H50" s="9"/>
    </row>
    <row r="51" spans="3:9" ht="19.2" x14ac:dyDescent="0.3">
      <c r="C51" s="8"/>
      <c r="D51" s="8"/>
      <c r="E51" s="8"/>
      <c r="F51" s="8"/>
      <c r="G51" s="8"/>
      <c r="H51" s="9"/>
    </row>
    <row r="52" spans="3:9" ht="19.2" x14ac:dyDescent="0.3">
      <c r="C52" s="8"/>
      <c r="D52" s="8"/>
      <c r="E52" s="8"/>
      <c r="F52" s="8"/>
      <c r="G52" s="8"/>
      <c r="H52" s="9"/>
    </row>
    <row r="53" spans="3:9" ht="19.2" x14ac:dyDescent="0.3">
      <c r="C53" s="8"/>
      <c r="D53" s="8"/>
      <c r="E53" s="8"/>
      <c r="F53" s="8"/>
      <c r="G53" s="8"/>
      <c r="H53" s="9"/>
    </row>
    <row r="54" spans="3:9" ht="19.2" x14ac:dyDescent="0.3">
      <c r="C54" s="8"/>
      <c r="D54" s="8"/>
      <c r="E54" s="8"/>
      <c r="F54" s="8"/>
      <c r="G54" s="8"/>
      <c r="H54" s="9"/>
    </row>
    <row r="55" spans="3:9" ht="19.2" x14ac:dyDescent="0.3">
      <c r="C55" s="8"/>
      <c r="D55" s="8"/>
      <c r="E55" s="8"/>
      <c r="F55" s="8"/>
      <c r="G55" s="8"/>
      <c r="H55" s="9"/>
    </row>
    <row r="56" spans="3:9" ht="19.2" x14ac:dyDescent="0.3">
      <c r="C56" s="8"/>
      <c r="D56" s="8"/>
      <c r="E56" s="8"/>
      <c r="F56" s="8"/>
      <c r="G56" s="8"/>
      <c r="H56" s="9"/>
    </row>
    <row r="57" spans="3:9" ht="19.2" x14ac:dyDescent="0.3">
      <c r="C57" s="8"/>
      <c r="D57" s="8"/>
      <c r="E57" s="8"/>
      <c r="F57" s="8"/>
      <c r="G57" s="8"/>
      <c r="H57" s="9"/>
    </row>
    <row r="58" spans="3:9" ht="19.2" x14ac:dyDescent="0.3">
      <c r="C58" s="8"/>
      <c r="D58" s="8"/>
      <c r="E58" s="8"/>
      <c r="F58" s="8"/>
      <c r="G58" s="8"/>
      <c r="H58" s="9"/>
    </row>
    <row r="59" spans="3:9" ht="19.2" x14ac:dyDescent="0.3">
      <c r="C59" s="8"/>
      <c r="D59" s="8"/>
      <c r="E59" s="8"/>
      <c r="F59" s="8"/>
      <c r="G59" s="8"/>
      <c r="H59" s="9"/>
    </row>
    <row r="60" spans="3:9" ht="19.2" x14ac:dyDescent="0.3">
      <c r="C60" s="8"/>
      <c r="D60" s="8"/>
      <c r="E60" s="8"/>
      <c r="F60" s="8"/>
      <c r="G60" s="8"/>
      <c r="H60" s="9"/>
      <c r="I60" t="s">
        <v>110</v>
      </c>
    </row>
    <row r="61" spans="3:9" ht="19.2" x14ac:dyDescent="0.3">
      <c r="C61" s="8"/>
      <c r="D61" s="8"/>
      <c r="E61" s="8"/>
      <c r="F61" s="8"/>
      <c r="G61" s="8"/>
      <c r="H61" s="9"/>
    </row>
    <row r="62" spans="3:9" ht="19.2" x14ac:dyDescent="0.3">
      <c r="C62" s="8"/>
      <c r="D62" s="8"/>
      <c r="E62" s="8"/>
      <c r="F62" s="8"/>
      <c r="G62" s="8"/>
      <c r="H62" s="9"/>
    </row>
    <row r="63" spans="3:9" ht="19.2" x14ac:dyDescent="0.3">
      <c r="C63" s="8"/>
      <c r="D63" s="8"/>
      <c r="E63" s="8"/>
      <c r="F63" s="8"/>
      <c r="G63" s="8"/>
      <c r="H63" s="9"/>
    </row>
    <row r="64" spans="3:9" ht="19.2" x14ac:dyDescent="0.3">
      <c r="C64" s="8"/>
      <c r="D64" s="8"/>
      <c r="E64" s="8"/>
      <c r="F64" s="8"/>
      <c r="G64" s="8"/>
      <c r="H64" s="9"/>
    </row>
    <row r="65" spans="3:8" ht="19.2" x14ac:dyDescent="0.3">
      <c r="C65" s="8"/>
      <c r="D65" s="8"/>
      <c r="E65" s="8"/>
      <c r="F65" s="8"/>
      <c r="G65" s="8"/>
      <c r="H65" s="9"/>
    </row>
    <row r="66" spans="3:8" ht="19.2" x14ac:dyDescent="0.3">
      <c r="C66" s="8"/>
      <c r="D66" s="8"/>
      <c r="E66" s="8"/>
      <c r="F66" s="8"/>
      <c r="G66" s="8"/>
      <c r="H66" s="9"/>
    </row>
    <row r="67" spans="3:8" ht="19.2" x14ac:dyDescent="0.3">
      <c r="C67" s="8"/>
      <c r="D67" s="8"/>
      <c r="E67" s="8"/>
      <c r="F67" s="8"/>
      <c r="G67" s="8"/>
      <c r="H67" s="9"/>
    </row>
    <row r="68" spans="3:8" ht="19.2" x14ac:dyDescent="0.3">
      <c r="C68" s="8"/>
      <c r="D68" s="8"/>
      <c r="E68" s="8"/>
      <c r="F68" s="8"/>
      <c r="G68" s="8"/>
      <c r="H68" s="9"/>
    </row>
    <row r="69" spans="3:8" ht="19.2" x14ac:dyDescent="0.3">
      <c r="C69" s="8"/>
      <c r="D69" s="8"/>
      <c r="E69" s="8"/>
      <c r="F69" s="8"/>
      <c r="G69" s="8"/>
      <c r="H69" s="9"/>
    </row>
    <row r="70" spans="3:8" ht="19.2" x14ac:dyDescent="0.3">
      <c r="C70" s="8"/>
      <c r="D70" s="8"/>
      <c r="E70" s="8"/>
      <c r="F70" s="8"/>
      <c r="G70" s="8"/>
      <c r="H70" s="9"/>
    </row>
    <row r="71" spans="3:8" ht="19.2" x14ac:dyDescent="0.3">
      <c r="C71" s="8"/>
      <c r="D71" s="8"/>
      <c r="E71" s="8"/>
      <c r="F71" s="8"/>
      <c r="G71" s="8"/>
      <c r="H71" s="9"/>
    </row>
    <row r="72" spans="3:8" ht="19.2" x14ac:dyDescent="0.3">
      <c r="C72" s="8"/>
      <c r="D72" s="8"/>
      <c r="E72" s="8"/>
      <c r="F72" s="8"/>
      <c r="G72" s="8"/>
      <c r="H72" s="9"/>
    </row>
    <row r="73" spans="3:8" ht="19.2" x14ac:dyDescent="0.3">
      <c r="C73" s="8"/>
      <c r="D73" s="8"/>
      <c r="E73" s="8"/>
      <c r="F73" s="8"/>
      <c r="G73" s="8"/>
      <c r="H73" s="9"/>
    </row>
    <row r="74" spans="3:8" ht="19.2" x14ac:dyDescent="0.3">
      <c r="C74" s="8"/>
      <c r="D74" s="8"/>
      <c r="E74" s="8"/>
      <c r="F74" s="8"/>
      <c r="G74" s="8"/>
      <c r="H74" s="9"/>
    </row>
    <row r="75" spans="3:8" ht="19.2" x14ac:dyDescent="0.3">
      <c r="C75" s="8"/>
      <c r="D75" s="8"/>
      <c r="E75" s="8"/>
      <c r="F75" s="8"/>
      <c r="G75" s="8"/>
      <c r="H75" s="9"/>
    </row>
    <row r="76" spans="3:8" ht="19.2" x14ac:dyDescent="0.3">
      <c r="C76" s="8"/>
      <c r="D76" s="8"/>
      <c r="E76" s="8"/>
      <c r="F76" s="8"/>
      <c r="G76" s="8"/>
      <c r="H76" s="9"/>
    </row>
    <row r="77" spans="3:8" ht="19.2" x14ac:dyDescent="0.3">
      <c r="C77" s="8"/>
      <c r="D77" s="8"/>
      <c r="E77" s="8"/>
      <c r="F77" s="8"/>
      <c r="G77" s="8"/>
      <c r="H77" s="9"/>
    </row>
    <row r="78" spans="3:8" ht="19.2" x14ac:dyDescent="0.3">
      <c r="C78" s="8"/>
      <c r="D78" s="8"/>
      <c r="E78" s="8"/>
      <c r="F78" s="8"/>
      <c r="G78" s="8"/>
      <c r="H78" s="9"/>
    </row>
    <row r="79" spans="3:8" ht="19.2" x14ac:dyDescent="0.3">
      <c r="C79" s="8"/>
      <c r="D79" s="8"/>
      <c r="E79" s="8"/>
      <c r="F79" s="8"/>
      <c r="G79" s="8"/>
      <c r="H79" s="9"/>
    </row>
    <row r="80" spans="3:8" ht="19.2" x14ac:dyDescent="0.3">
      <c r="C80" s="8"/>
      <c r="D80" s="8"/>
      <c r="E80" s="8"/>
      <c r="F80" s="8"/>
      <c r="G80" s="8"/>
      <c r="H80" s="9"/>
    </row>
    <row r="81" spans="3:8" ht="19.2" x14ac:dyDescent="0.3">
      <c r="C81" s="8"/>
      <c r="D81" s="8"/>
      <c r="E81" s="8"/>
      <c r="F81" s="8"/>
      <c r="G81" s="8"/>
      <c r="H81" s="9"/>
    </row>
    <row r="82" spans="3:8" ht="19.2" x14ac:dyDescent="0.3">
      <c r="C82" s="8"/>
      <c r="D82" s="8"/>
      <c r="E82" s="8"/>
      <c r="F82" s="8"/>
      <c r="G82" s="8"/>
      <c r="H82" s="9"/>
    </row>
    <row r="83" spans="3:8" ht="19.2" x14ac:dyDescent="0.3">
      <c r="C83" s="8"/>
      <c r="D83" s="8"/>
      <c r="E83" s="8"/>
      <c r="F83" s="8"/>
      <c r="G83" s="8"/>
      <c r="H83" s="9"/>
    </row>
    <row r="84" spans="3:8" ht="19.2" x14ac:dyDescent="0.3">
      <c r="C84" s="8"/>
      <c r="D84" s="8"/>
      <c r="E84" s="8"/>
      <c r="F84" s="8"/>
      <c r="G84" s="8"/>
      <c r="H84" s="9"/>
    </row>
    <row r="85" spans="3:8" ht="19.2" x14ac:dyDescent="0.3">
      <c r="C85" s="8"/>
      <c r="D85" s="8"/>
      <c r="E85" s="8"/>
      <c r="F85" s="8"/>
      <c r="G85" s="8"/>
      <c r="H85" s="9"/>
    </row>
    <row r="86" spans="3:8" ht="19.2" x14ac:dyDescent="0.3">
      <c r="C86" s="8"/>
      <c r="D86" s="8"/>
      <c r="E86" s="8"/>
      <c r="F86" s="8"/>
      <c r="G86" s="8"/>
      <c r="H86" s="9"/>
    </row>
    <row r="87" spans="3:8" ht="19.2" x14ac:dyDescent="0.3">
      <c r="C87" s="8"/>
      <c r="D87" s="8"/>
      <c r="E87" s="8"/>
      <c r="F87" s="8"/>
      <c r="G87" s="8"/>
      <c r="H87" s="9"/>
    </row>
    <row r="88" spans="3:8" ht="19.2" x14ac:dyDescent="0.3">
      <c r="C88" s="8"/>
      <c r="D88" s="8"/>
      <c r="E88" s="8"/>
      <c r="F88" s="8"/>
      <c r="G88" s="8"/>
      <c r="H88" s="9"/>
    </row>
    <row r="89" spans="3:8" ht="19.2" x14ac:dyDescent="0.3">
      <c r="C89" s="8"/>
      <c r="D89" s="8"/>
      <c r="E89" s="8"/>
      <c r="F89" s="8"/>
      <c r="G89" s="8"/>
      <c r="H89" s="9"/>
    </row>
    <row r="90" spans="3:8" ht="19.2" x14ac:dyDescent="0.3">
      <c r="C90" s="8"/>
      <c r="D90" s="8"/>
      <c r="E90" s="8"/>
      <c r="F90" s="8"/>
      <c r="G90" s="8"/>
      <c r="H90" s="9"/>
    </row>
    <row r="91" spans="3:8" ht="19.2" x14ac:dyDescent="0.3">
      <c r="C91" s="8"/>
      <c r="D91" s="8"/>
      <c r="E91" s="8"/>
      <c r="F91" s="8"/>
      <c r="G91" s="8"/>
      <c r="H91" s="9"/>
    </row>
    <row r="92" spans="3:8" ht="19.2" x14ac:dyDescent="0.3">
      <c r="C92" s="8"/>
      <c r="D92" s="8"/>
      <c r="E92" s="8"/>
      <c r="F92" s="8"/>
      <c r="G92" s="8"/>
      <c r="H92" s="9"/>
    </row>
    <row r="93" spans="3:8" ht="19.2" x14ac:dyDescent="0.3">
      <c r="C93" s="8"/>
      <c r="D93" s="8"/>
      <c r="E93" s="8"/>
      <c r="F93" s="8"/>
      <c r="G93" s="8"/>
      <c r="H93" s="9"/>
    </row>
    <row r="94" spans="3:8" ht="19.2" x14ac:dyDescent="0.3">
      <c r="C94" s="8"/>
      <c r="D94" s="8"/>
      <c r="E94" s="8"/>
      <c r="F94" s="8"/>
      <c r="G94" s="8"/>
      <c r="H94" s="9"/>
    </row>
    <row r="95" spans="3:8" ht="19.2" x14ac:dyDescent="0.3">
      <c r="C95" s="8"/>
      <c r="D95" s="8"/>
      <c r="E95" s="8"/>
      <c r="F95" s="8"/>
      <c r="G95" s="8"/>
      <c r="H95" s="9"/>
    </row>
    <row r="96" spans="3:8" ht="19.2" x14ac:dyDescent="0.3">
      <c r="C96" s="8"/>
      <c r="D96" s="8"/>
      <c r="E96" s="8"/>
      <c r="F96" s="8"/>
      <c r="G96" s="8"/>
      <c r="H96" s="9"/>
    </row>
    <row r="97" spans="3:8" ht="19.2" x14ac:dyDescent="0.3">
      <c r="C97" s="8"/>
      <c r="D97" s="8"/>
      <c r="E97" s="8"/>
      <c r="F97" s="8"/>
      <c r="G97" s="8"/>
      <c r="H97" s="9"/>
    </row>
    <row r="98" spans="3:8" ht="19.2" x14ac:dyDescent="0.3">
      <c r="C98" s="8"/>
      <c r="D98" s="8"/>
      <c r="E98" s="8"/>
      <c r="F98" s="8"/>
      <c r="G98" s="8"/>
      <c r="H98" s="9"/>
    </row>
    <row r="99" spans="3:8" ht="19.2" x14ac:dyDescent="0.3">
      <c r="C99" s="8"/>
      <c r="D99" s="8"/>
      <c r="E99" s="8"/>
      <c r="F99" s="8"/>
      <c r="G99" s="8"/>
      <c r="H99" s="9"/>
    </row>
    <row r="100" spans="3:8" ht="19.2" x14ac:dyDescent="0.3">
      <c r="C100" s="8"/>
      <c r="D100" s="8"/>
      <c r="E100" s="8"/>
      <c r="F100" s="8"/>
      <c r="G100" s="8"/>
      <c r="H100" s="9"/>
    </row>
    <row r="101" spans="3:8" ht="19.2" x14ac:dyDescent="0.3">
      <c r="C101" s="8"/>
      <c r="D101" s="8"/>
      <c r="E101" s="8"/>
      <c r="F101" s="8"/>
      <c r="G101" s="8"/>
      <c r="H101" s="9"/>
    </row>
    <row r="102" spans="3:8" ht="19.2" x14ac:dyDescent="0.3">
      <c r="C102" s="8"/>
      <c r="D102" s="8"/>
      <c r="E102" s="8"/>
      <c r="F102" s="8"/>
      <c r="G102" s="8"/>
      <c r="H102" s="9"/>
    </row>
    <row r="103" spans="3:8" ht="19.2" x14ac:dyDescent="0.3">
      <c r="C103" s="8"/>
      <c r="D103" s="8"/>
      <c r="E103" s="8"/>
      <c r="F103" s="8"/>
      <c r="G103" s="8"/>
      <c r="H103" s="9"/>
    </row>
    <row r="104" spans="3:8" ht="19.2" x14ac:dyDescent="0.3">
      <c r="C104" s="8"/>
      <c r="D104" s="8"/>
      <c r="E104" s="8"/>
      <c r="F104" s="8"/>
      <c r="G104" s="8"/>
      <c r="H104" s="9"/>
    </row>
  </sheetData>
  <mergeCells count="1">
    <mergeCell ref="C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93A6-C625-4D97-99EB-B1CEBC5A8FA5}">
  <dimension ref="C3:N104"/>
  <sheetViews>
    <sheetView workbookViewId="0">
      <selection activeCell="H6" sqref="H6"/>
    </sheetView>
  </sheetViews>
  <sheetFormatPr defaultRowHeight="14.4" x14ac:dyDescent="0.3"/>
  <cols>
    <col min="4" max="4" width="17.109375" bestFit="1" customWidth="1"/>
    <col min="5" max="5" width="21.109375" customWidth="1"/>
    <col min="6" max="6" width="12.6640625" customWidth="1"/>
    <col min="7" max="7" width="14.21875" customWidth="1"/>
    <col min="18" max="18" width="45.44140625" customWidth="1"/>
  </cols>
  <sheetData>
    <row r="3" spans="3:14" ht="38.4" customHeight="1" x14ac:dyDescent="0.3">
      <c r="C3" s="18" t="s">
        <v>122</v>
      </c>
      <c r="D3" s="18"/>
      <c r="E3" s="18"/>
      <c r="F3" s="18"/>
      <c r="G3" s="18"/>
    </row>
    <row r="4" spans="3:14" ht="22.2" x14ac:dyDescent="0.3">
      <c r="C4" s="1" t="s">
        <v>2</v>
      </c>
      <c r="D4" s="1" t="s">
        <v>125</v>
      </c>
      <c r="E4" s="1" t="s">
        <v>123</v>
      </c>
      <c r="F4" s="3" t="s">
        <v>119</v>
      </c>
      <c r="G4" s="1" t="s">
        <v>120</v>
      </c>
    </row>
    <row r="5" spans="3:14" ht="19.2" x14ac:dyDescent="0.3">
      <c r="C5" s="2" t="s">
        <v>3</v>
      </c>
      <c r="D5" s="2">
        <v>5.22</v>
      </c>
      <c r="E5" s="2">
        <v>5.42</v>
      </c>
      <c r="F5" s="2">
        <f>ABS(D5-E5)</f>
        <v>0.20000000000000018</v>
      </c>
      <c r="G5" s="2">
        <f>(D5-E5)^2</f>
        <v>4.000000000000007E-2</v>
      </c>
    </row>
    <row r="6" spans="3:14" ht="19.2" x14ac:dyDescent="0.3">
      <c r="C6" s="2" t="s">
        <v>4</v>
      </c>
      <c r="D6" s="2">
        <v>5.22</v>
      </c>
      <c r="E6" s="2">
        <v>5.31</v>
      </c>
      <c r="F6" s="2">
        <f t="shared" ref="F6:F14" si="0">ABS(D6-E6)</f>
        <v>8.9999999999999858E-2</v>
      </c>
      <c r="G6" s="2">
        <f t="shared" ref="G6:G14" si="1">(D6-E6)^2</f>
        <v>8.0999999999999753E-3</v>
      </c>
    </row>
    <row r="7" spans="3:14" ht="19.2" x14ac:dyDescent="0.3">
      <c r="C7" s="2" t="s">
        <v>5</v>
      </c>
      <c r="D7" s="2">
        <v>5.46</v>
      </c>
      <c r="E7" s="2">
        <v>5.29</v>
      </c>
      <c r="F7" s="2">
        <f t="shared" si="0"/>
        <v>0.16999999999999993</v>
      </c>
      <c r="G7" s="2">
        <f t="shared" si="1"/>
        <v>2.8899999999999974E-2</v>
      </c>
    </row>
    <row r="8" spans="3:14" ht="19.2" x14ac:dyDescent="0.3">
      <c r="C8" s="2" t="s">
        <v>6</v>
      </c>
      <c r="D8" s="2">
        <v>5.86</v>
      </c>
      <c r="E8" s="2">
        <v>5.65</v>
      </c>
      <c r="F8" s="2">
        <f t="shared" si="0"/>
        <v>0.20999999999999996</v>
      </c>
      <c r="G8" s="2">
        <f t="shared" si="1"/>
        <v>4.4099999999999986E-2</v>
      </c>
    </row>
    <row r="9" spans="3:14" ht="19.2" x14ac:dyDescent="0.3">
      <c r="C9" s="2" t="s">
        <v>7</v>
      </c>
      <c r="D9" s="2">
        <v>5.77</v>
      </c>
      <c r="E9" s="2">
        <v>5.76</v>
      </c>
      <c r="F9" s="2">
        <f t="shared" si="0"/>
        <v>9.9999999999997868E-3</v>
      </c>
      <c r="G9" s="2">
        <f t="shared" si="1"/>
        <v>9.9999999999995736E-5</v>
      </c>
    </row>
    <row r="10" spans="3:14" ht="19.2" x14ac:dyDescent="0.3">
      <c r="C10" s="2" t="s">
        <v>8</v>
      </c>
      <c r="D10" s="2">
        <v>5.67</v>
      </c>
      <c r="E10" s="2">
        <v>5.52</v>
      </c>
      <c r="F10" s="2">
        <f t="shared" si="0"/>
        <v>0.15000000000000036</v>
      </c>
      <c r="G10" s="2">
        <f t="shared" si="1"/>
        <v>2.2500000000000107E-2</v>
      </c>
    </row>
    <row r="11" spans="3:14" ht="19.2" x14ac:dyDescent="0.3">
      <c r="C11" s="2" t="s">
        <v>9</v>
      </c>
      <c r="D11" s="2">
        <v>5.58</v>
      </c>
      <c r="E11" s="2">
        <v>5.43</v>
      </c>
      <c r="F11" s="2">
        <f t="shared" si="0"/>
        <v>0.15000000000000036</v>
      </c>
      <c r="G11" s="2">
        <f t="shared" si="1"/>
        <v>2.2500000000000107E-2</v>
      </c>
    </row>
    <row r="12" spans="3:14" ht="19.2" x14ac:dyDescent="0.3">
      <c r="C12" s="2" t="s">
        <v>10</v>
      </c>
      <c r="D12" s="2">
        <v>5.5</v>
      </c>
      <c r="E12" s="2">
        <v>5.43</v>
      </c>
      <c r="F12" s="2">
        <f t="shared" si="0"/>
        <v>7.0000000000000284E-2</v>
      </c>
      <c r="G12" s="2">
        <f t="shared" si="1"/>
        <v>4.9000000000000397E-3</v>
      </c>
    </row>
    <row r="13" spans="3:14" ht="19.2" x14ac:dyDescent="0.3">
      <c r="C13" s="2" t="s">
        <v>11</v>
      </c>
      <c r="D13" s="2">
        <v>5.39</v>
      </c>
      <c r="E13" s="2">
        <v>5.36</v>
      </c>
      <c r="F13" s="2">
        <f t="shared" si="0"/>
        <v>2.9999999999999361E-2</v>
      </c>
      <c r="G13" s="2">
        <f t="shared" si="1"/>
        <v>8.9999999999996159E-4</v>
      </c>
    </row>
    <row r="14" spans="3:14" ht="19.2" x14ac:dyDescent="0.3">
      <c r="C14" s="2" t="s">
        <v>12</v>
      </c>
      <c r="D14" s="2">
        <v>5.3</v>
      </c>
      <c r="E14" s="2">
        <v>5.36</v>
      </c>
      <c r="F14" s="2">
        <f t="shared" si="0"/>
        <v>6.0000000000000497E-2</v>
      </c>
      <c r="G14" s="2">
        <f t="shared" si="1"/>
        <v>3.6000000000000597E-3</v>
      </c>
    </row>
    <row r="15" spans="3:14" ht="19.2" x14ac:dyDescent="0.3">
      <c r="C15" s="8"/>
      <c r="D15" s="8"/>
      <c r="E15" s="14" t="s">
        <v>124</v>
      </c>
      <c r="F15" s="15">
        <f>AVERAGE(F5:F14)</f>
        <v>0.11400000000000006</v>
      </c>
      <c r="G15" s="15">
        <f>SQRT(AVERAGE(G5:G14))</f>
        <v>0.13251415018781967</v>
      </c>
      <c r="J15" s="8"/>
      <c r="K15" s="8"/>
      <c r="L15" s="16"/>
      <c r="M15" s="17"/>
      <c r="N15" s="17"/>
    </row>
    <row r="16" spans="3:14" ht="19.2" x14ac:dyDescent="0.3">
      <c r="C16" s="8"/>
      <c r="D16" s="8"/>
      <c r="E16" s="8"/>
      <c r="F16" s="8"/>
      <c r="G16" s="8"/>
    </row>
    <row r="17" spans="3:7" ht="19.2" x14ac:dyDescent="0.3">
      <c r="C17" s="8"/>
      <c r="D17" s="8"/>
      <c r="E17" s="8"/>
      <c r="F17" s="8"/>
      <c r="G17" s="8"/>
    </row>
    <row r="18" spans="3:7" ht="19.2" x14ac:dyDescent="0.3">
      <c r="C18" s="8"/>
      <c r="D18" s="8"/>
      <c r="E18" s="8"/>
      <c r="F18" s="8"/>
      <c r="G18" s="8"/>
    </row>
    <row r="19" spans="3:7" ht="19.2" x14ac:dyDescent="0.3">
      <c r="C19" s="8"/>
      <c r="D19" s="8"/>
      <c r="E19" s="8"/>
      <c r="F19" s="8"/>
      <c r="G19" s="8"/>
    </row>
    <row r="20" spans="3:7" ht="19.2" x14ac:dyDescent="0.3">
      <c r="C20" s="8"/>
      <c r="D20" s="8"/>
      <c r="E20" s="8"/>
      <c r="F20" s="8"/>
      <c r="G20" s="8"/>
    </row>
    <row r="21" spans="3:7" ht="19.2" x14ac:dyDescent="0.3">
      <c r="C21" s="8"/>
      <c r="D21" s="8"/>
      <c r="E21" s="8"/>
      <c r="F21" s="8"/>
      <c r="G21" s="8"/>
    </row>
    <row r="22" spans="3:7" ht="19.2" x14ac:dyDescent="0.3">
      <c r="C22" s="8"/>
      <c r="D22" s="8"/>
      <c r="E22" s="8"/>
      <c r="F22" s="8"/>
      <c r="G22" s="8"/>
    </row>
    <row r="23" spans="3:7" ht="19.2" x14ac:dyDescent="0.3">
      <c r="C23" s="8"/>
      <c r="D23" s="8"/>
      <c r="E23" s="8"/>
      <c r="F23" s="8"/>
      <c r="G23" s="8"/>
    </row>
    <row r="24" spans="3:7" ht="19.2" x14ac:dyDescent="0.3">
      <c r="C24" s="8"/>
      <c r="D24" s="8"/>
      <c r="E24" s="8"/>
      <c r="F24" s="8"/>
      <c r="G24" s="8"/>
    </row>
    <row r="25" spans="3:7" ht="19.2" x14ac:dyDescent="0.3">
      <c r="C25" s="8"/>
      <c r="D25" s="8"/>
      <c r="E25" s="8"/>
      <c r="F25" s="8"/>
      <c r="G25" s="8"/>
    </row>
    <row r="26" spans="3:7" ht="19.2" x14ac:dyDescent="0.3">
      <c r="C26" s="8"/>
      <c r="D26" s="8"/>
      <c r="E26" s="8"/>
      <c r="F26" s="8"/>
      <c r="G26" s="8"/>
    </row>
    <row r="27" spans="3:7" ht="19.2" x14ac:dyDescent="0.3">
      <c r="C27" s="8"/>
      <c r="D27" s="8"/>
      <c r="E27" s="8"/>
      <c r="F27" s="8"/>
      <c r="G27" s="8"/>
    </row>
    <row r="28" spans="3:7" ht="19.2" x14ac:dyDescent="0.3">
      <c r="C28" s="8"/>
      <c r="D28" s="8"/>
      <c r="E28" s="8"/>
      <c r="F28" s="8"/>
      <c r="G28" s="8"/>
    </row>
    <row r="29" spans="3:7" ht="19.2" x14ac:dyDescent="0.3">
      <c r="C29" s="8"/>
      <c r="D29" s="8"/>
      <c r="E29" s="8"/>
      <c r="F29" s="8"/>
      <c r="G29" s="8"/>
    </row>
    <row r="30" spans="3:7" ht="19.2" x14ac:dyDescent="0.3">
      <c r="C30" s="8"/>
      <c r="D30" s="8"/>
      <c r="E30" s="8"/>
      <c r="F30" s="8"/>
      <c r="G30" s="8"/>
    </row>
    <row r="31" spans="3:7" ht="19.2" x14ac:dyDescent="0.3">
      <c r="C31" s="8"/>
      <c r="D31" s="8"/>
      <c r="E31" s="8"/>
      <c r="F31" s="8"/>
      <c r="G31" s="8"/>
    </row>
    <row r="32" spans="3:7" ht="19.2" x14ac:dyDescent="0.3">
      <c r="C32" s="8"/>
      <c r="D32" s="8"/>
      <c r="E32" s="8"/>
      <c r="F32" s="8"/>
      <c r="G32" s="8"/>
    </row>
    <row r="33" spans="3:7" ht="19.2" x14ac:dyDescent="0.3">
      <c r="C33" s="8"/>
      <c r="D33" s="8"/>
      <c r="E33" s="8"/>
      <c r="F33" s="8"/>
      <c r="G33" s="8"/>
    </row>
    <row r="34" spans="3:7" ht="19.2" x14ac:dyDescent="0.3">
      <c r="C34" s="8"/>
      <c r="D34" s="8"/>
      <c r="E34" s="8"/>
      <c r="F34" s="8"/>
      <c r="G34" s="8"/>
    </row>
    <row r="35" spans="3:7" ht="19.2" x14ac:dyDescent="0.3">
      <c r="C35" s="8"/>
      <c r="D35" s="8"/>
      <c r="E35" s="8"/>
      <c r="F35" s="8"/>
      <c r="G35" s="8"/>
    </row>
    <row r="36" spans="3:7" ht="19.2" x14ac:dyDescent="0.3">
      <c r="C36" s="8"/>
      <c r="D36" s="8"/>
      <c r="E36" s="8"/>
      <c r="F36" s="8"/>
      <c r="G36" s="8"/>
    </row>
    <row r="37" spans="3:7" ht="19.2" x14ac:dyDescent="0.3">
      <c r="C37" s="8"/>
      <c r="D37" s="8"/>
      <c r="E37" s="8"/>
      <c r="F37" s="8"/>
      <c r="G37" s="8"/>
    </row>
    <row r="38" spans="3:7" ht="19.2" x14ac:dyDescent="0.3">
      <c r="C38" s="8"/>
      <c r="D38" s="8"/>
      <c r="E38" s="8"/>
      <c r="F38" s="8"/>
      <c r="G38" s="8"/>
    </row>
    <row r="39" spans="3:7" ht="19.2" x14ac:dyDescent="0.3">
      <c r="C39" s="8"/>
      <c r="D39" s="8"/>
      <c r="E39" s="8"/>
      <c r="F39" s="8"/>
      <c r="G39" s="8"/>
    </row>
    <row r="40" spans="3:7" ht="19.2" x14ac:dyDescent="0.3">
      <c r="C40" s="8"/>
      <c r="D40" s="8"/>
      <c r="E40" s="8"/>
      <c r="F40" s="8"/>
      <c r="G40" s="8"/>
    </row>
    <row r="41" spans="3:7" ht="19.2" x14ac:dyDescent="0.3">
      <c r="C41" s="8"/>
      <c r="D41" s="8"/>
      <c r="E41" s="8"/>
      <c r="F41" s="8"/>
      <c r="G41" s="8"/>
    </row>
    <row r="42" spans="3:7" ht="19.2" x14ac:dyDescent="0.3">
      <c r="C42" s="8"/>
      <c r="D42" s="8"/>
      <c r="E42" s="8"/>
      <c r="F42" s="8"/>
      <c r="G42" s="8"/>
    </row>
    <row r="43" spans="3:7" ht="19.2" x14ac:dyDescent="0.3">
      <c r="C43" s="8"/>
      <c r="D43" s="8"/>
      <c r="E43" s="8"/>
      <c r="F43" s="8"/>
      <c r="G43" s="8"/>
    </row>
    <row r="44" spans="3:7" ht="19.2" x14ac:dyDescent="0.3">
      <c r="C44" s="8"/>
      <c r="D44" s="8"/>
      <c r="E44" s="8"/>
      <c r="F44" s="8"/>
      <c r="G44" s="8"/>
    </row>
    <row r="45" spans="3:7" ht="19.2" x14ac:dyDescent="0.3">
      <c r="C45" s="8"/>
      <c r="D45" s="8"/>
      <c r="E45" s="8"/>
      <c r="F45" s="8"/>
      <c r="G45" s="8"/>
    </row>
    <row r="46" spans="3:7" ht="19.2" x14ac:dyDescent="0.3">
      <c r="C46" s="8"/>
      <c r="D46" s="8"/>
      <c r="E46" s="8"/>
      <c r="F46" s="8"/>
      <c r="G46" s="8"/>
    </row>
    <row r="47" spans="3:7" ht="19.2" x14ac:dyDescent="0.3">
      <c r="C47" s="8"/>
      <c r="D47" s="8"/>
      <c r="E47" s="8"/>
      <c r="F47" s="8"/>
      <c r="G47" s="8"/>
    </row>
    <row r="48" spans="3:7" ht="19.2" x14ac:dyDescent="0.3">
      <c r="C48" s="8"/>
      <c r="D48" s="8"/>
      <c r="E48" s="8"/>
      <c r="F48" s="8"/>
      <c r="G48" s="8"/>
    </row>
    <row r="49" spans="3:7" ht="19.2" x14ac:dyDescent="0.3">
      <c r="C49" s="8"/>
      <c r="D49" s="8"/>
      <c r="E49" s="8"/>
      <c r="F49" s="8"/>
      <c r="G49" s="8"/>
    </row>
    <row r="50" spans="3:7" ht="19.2" x14ac:dyDescent="0.3">
      <c r="C50" s="8"/>
      <c r="D50" s="8"/>
      <c r="E50" s="8"/>
      <c r="F50" s="8"/>
      <c r="G50" s="8"/>
    </row>
    <row r="51" spans="3:7" ht="19.2" x14ac:dyDescent="0.3">
      <c r="C51" s="8"/>
      <c r="D51" s="8"/>
      <c r="E51" s="8"/>
      <c r="F51" s="8"/>
      <c r="G51" s="8"/>
    </row>
    <row r="52" spans="3:7" ht="19.2" x14ac:dyDescent="0.3">
      <c r="C52" s="8"/>
      <c r="D52" s="8"/>
      <c r="E52" s="8"/>
      <c r="F52" s="8"/>
      <c r="G52" s="8"/>
    </row>
    <row r="53" spans="3:7" ht="19.2" x14ac:dyDescent="0.3">
      <c r="C53" s="8"/>
      <c r="D53" s="8"/>
      <c r="E53" s="8"/>
      <c r="F53" s="8"/>
      <c r="G53" s="8"/>
    </row>
    <row r="54" spans="3:7" ht="19.2" x14ac:dyDescent="0.3">
      <c r="C54" s="8"/>
      <c r="D54" s="8"/>
      <c r="E54" s="8"/>
      <c r="F54" s="8"/>
      <c r="G54" s="8"/>
    </row>
    <row r="55" spans="3:7" ht="19.2" x14ac:dyDescent="0.3">
      <c r="C55" s="8"/>
      <c r="D55" s="8"/>
      <c r="E55" s="8"/>
      <c r="F55" s="8"/>
      <c r="G55" s="8"/>
    </row>
    <row r="56" spans="3:7" ht="19.2" x14ac:dyDescent="0.3">
      <c r="C56" s="8"/>
      <c r="D56" s="8"/>
      <c r="E56" s="8"/>
      <c r="F56" s="8"/>
      <c r="G56" s="8"/>
    </row>
    <row r="57" spans="3:7" ht="19.2" x14ac:dyDescent="0.3">
      <c r="C57" s="8"/>
      <c r="D57" s="8"/>
      <c r="E57" s="8"/>
      <c r="F57" s="8"/>
      <c r="G57" s="8"/>
    </row>
    <row r="58" spans="3:7" ht="19.2" x14ac:dyDescent="0.3">
      <c r="C58" s="8"/>
      <c r="D58" s="8"/>
      <c r="E58" s="8"/>
      <c r="F58" s="8"/>
      <c r="G58" s="8"/>
    </row>
    <row r="59" spans="3:7" ht="19.2" x14ac:dyDescent="0.3">
      <c r="C59" s="8"/>
      <c r="D59" s="8"/>
      <c r="E59" s="8"/>
      <c r="F59" s="8"/>
      <c r="G59" s="8"/>
    </row>
    <row r="60" spans="3:7" ht="19.2" x14ac:dyDescent="0.3">
      <c r="C60" s="8"/>
      <c r="D60" s="8"/>
      <c r="E60" s="8"/>
      <c r="F60" s="8"/>
      <c r="G60" s="8"/>
    </row>
    <row r="61" spans="3:7" ht="19.2" x14ac:dyDescent="0.3">
      <c r="C61" s="8"/>
      <c r="D61" s="8"/>
      <c r="E61" s="8"/>
      <c r="F61" s="8"/>
      <c r="G61" s="8"/>
    </row>
    <row r="62" spans="3:7" ht="19.2" x14ac:dyDescent="0.3">
      <c r="C62" s="8"/>
      <c r="D62" s="8"/>
      <c r="E62" s="8"/>
      <c r="F62" s="8"/>
      <c r="G62" s="8"/>
    </row>
    <row r="63" spans="3:7" ht="19.2" x14ac:dyDescent="0.3">
      <c r="C63" s="8"/>
      <c r="D63" s="8"/>
      <c r="E63" s="8"/>
      <c r="F63" s="8"/>
      <c r="G63" s="8"/>
    </row>
    <row r="64" spans="3:7" ht="19.2" x14ac:dyDescent="0.3">
      <c r="C64" s="8"/>
      <c r="D64" s="8"/>
      <c r="E64" s="8"/>
      <c r="F64" s="8"/>
      <c r="G64" s="8"/>
    </row>
    <row r="65" spans="3:7" ht="19.2" x14ac:dyDescent="0.3">
      <c r="C65" s="8"/>
      <c r="D65" s="8"/>
      <c r="E65" s="8"/>
      <c r="F65" s="8"/>
      <c r="G65" s="8"/>
    </row>
    <row r="66" spans="3:7" ht="19.2" x14ac:dyDescent="0.3">
      <c r="C66" s="8"/>
      <c r="D66" s="8"/>
      <c r="E66" s="8"/>
      <c r="F66" s="8"/>
      <c r="G66" s="8"/>
    </row>
    <row r="67" spans="3:7" ht="19.2" x14ac:dyDescent="0.3">
      <c r="C67" s="8"/>
      <c r="D67" s="8"/>
      <c r="E67" s="8"/>
      <c r="F67" s="8"/>
      <c r="G67" s="8"/>
    </row>
    <row r="68" spans="3:7" ht="19.2" x14ac:dyDescent="0.3">
      <c r="C68" s="8"/>
      <c r="D68" s="8"/>
      <c r="E68" s="8"/>
      <c r="F68" s="8"/>
      <c r="G68" s="8"/>
    </row>
    <row r="69" spans="3:7" ht="19.2" x14ac:dyDescent="0.3">
      <c r="C69" s="8"/>
      <c r="D69" s="8"/>
      <c r="E69" s="8"/>
      <c r="F69" s="8"/>
      <c r="G69" s="8"/>
    </row>
    <row r="70" spans="3:7" ht="19.2" x14ac:dyDescent="0.3">
      <c r="C70" s="8"/>
      <c r="D70" s="8"/>
      <c r="E70" s="8"/>
      <c r="F70" s="8"/>
      <c r="G70" s="8"/>
    </row>
    <row r="71" spans="3:7" ht="19.2" x14ac:dyDescent="0.3">
      <c r="C71" s="8"/>
      <c r="D71" s="8"/>
      <c r="E71" s="8"/>
      <c r="F71" s="8"/>
      <c r="G71" s="8"/>
    </row>
    <row r="72" spans="3:7" ht="19.2" x14ac:dyDescent="0.3">
      <c r="C72" s="8"/>
      <c r="D72" s="8"/>
      <c r="E72" s="8"/>
      <c r="F72" s="8"/>
      <c r="G72" s="8"/>
    </row>
    <row r="73" spans="3:7" ht="19.2" x14ac:dyDescent="0.3">
      <c r="C73" s="8"/>
      <c r="D73" s="8"/>
      <c r="E73" s="8"/>
      <c r="F73" s="8"/>
      <c r="G73" s="8"/>
    </row>
    <row r="74" spans="3:7" ht="19.2" x14ac:dyDescent="0.3">
      <c r="C74" s="8"/>
      <c r="D74" s="8"/>
      <c r="E74" s="8"/>
      <c r="F74" s="8"/>
      <c r="G74" s="8"/>
    </row>
    <row r="75" spans="3:7" ht="19.2" x14ac:dyDescent="0.3">
      <c r="C75" s="8"/>
      <c r="D75" s="8"/>
      <c r="E75" s="8"/>
      <c r="F75" s="8"/>
      <c r="G75" s="8"/>
    </row>
    <row r="76" spans="3:7" ht="19.2" x14ac:dyDescent="0.3">
      <c r="C76" s="8"/>
      <c r="D76" s="8"/>
      <c r="E76" s="8"/>
      <c r="F76" s="8"/>
      <c r="G76" s="8"/>
    </row>
    <row r="77" spans="3:7" ht="19.2" x14ac:dyDescent="0.3">
      <c r="C77" s="8"/>
      <c r="D77" s="8"/>
      <c r="E77" s="8"/>
      <c r="F77" s="8"/>
      <c r="G77" s="8"/>
    </row>
    <row r="78" spans="3:7" ht="19.2" x14ac:dyDescent="0.3">
      <c r="C78" s="8"/>
      <c r="D78" s="8"/>
      <c r="E78" s="8"/>
      <c r="F78" s="8"/>
      <c r="G78" s="8"/>
    </row>
    <row r="79" spans="3:7" ht="19.2" x14ac:dyDescent="0.3">
      <c r="C79" s="8"/>
      <c r="D79" s="8"/>
      <c r="E79" s="8"/>
      <c r="F79" s="8"/>
      <c r="G79" s="8"/>
    </row>
    <row r="80" spans="3:7" ht="19.2" x14ac:dyDescent="0.3">
      <c r="C80" s="8"/>
      <c r="D80" s="8"/>
      <c r="E80" s="8"/>
      <c r="F80" s="8"/>
      <c r="G80" s="8"/>
    </row>
    <row r="81" spans="3:7" ht="19.2" x14ac:dyDescent="0.3">
      <c r="C81" s="8"/>
      <c r="D81" s="8"/>
      <c r="E81" s="8"/>
      <c r="F81" s="8"/>
      <c r="G81" s="8"/>
    </row>
    <row r="82" spans="3:7" ht="19.2" x14ac:dyDescent="0.3">
      <c r="C82" s="8"/>
      <c r="D82" s="8"/>
      <c r="E82" s="8"/>
      <c r="F82" s="8"/>
      <c r="G82" s="8"/>
    </row>
    <row r="83" spans="3:7" ht="19.2" x14ac:dyDescent="0.3">
      <c r="C83" s="8"/>
      <c r="D83" s="8"/>
      <c r="E83" s="8"/>
      <c r="F83" s="8"/>
      <c r="G83" s="8"/>
    </row>
    <row r="84" spans="3:7" ht="19.2" x14ac:dyDescent="0.3">
      <c r="C84" s="8"/>
      <c r="D84" s="8"/>
      <c r="E84" s="8"/>
      <c r="F84" s="8"/>
      <c r="G84" s="8"/>
    </row>
    <row r="85" spans="3:7" ht="19.2" x14ac:dyDescent="0.3">
      <c r="C85" s="8"/>
      <c r="D85" s="8"/>
      <c r="E85" s="8"/>
      <c r="F85" s="8"/>
      <c r="G85" s="8"/>
    </row>
    <row r="86" spans="3:7" ht="19.2" x14ac:dyDescent="0.3">
      <c r="C86" s="8"/>
      <c r="D86" s="8"/>
      <c r="E86" s="8"/>
      <c r="F86" s="8"/>
      <c r="G86" s="8"/>
    </row>
    <row r="87" spans="3:7" ht="19.2" x14ac:dyDescent="0.3">
      <c r="C87" s="8"/>
      <c r="D87" s="8"/>
      <c r="E87" s="8"/>
      <c r="F87" s="8"/>
      <c r="G87" s="8"/>
    </row>
    <row r="88" spans="3:7" ht="19.2" x14ac:dyDescent="0.3">
      <c r="C88" s="8"/>
      <c r="D88" s="8"/>
      <c r="E88" s="8"/>
      <c r="F88" s="8"/>
      <c r="G88" s="8"/>
    </row>
    <row r="89" spans="3:7" ht="19.2" x14ac:dyDescent="0.3">
      <c r="C89" s="8"/>
      <c r="D89" s="8"/>
      <c r="E89" s="8"/>
      <c r="F89" s="8"/>
      <c r="G89" s="8"/>
    </row>
    <row r="90" spans="3:7" ht="19.2" x14ac:dyDescent="0.3">
      <c r="C90" s="8"/>
      <c r="D90" s="8"/>
      <c r="E90" s="8"/>
      <c r="F90" s="8"/>
      <c r="G90" s="8"/>
    </row>
    <row r="91" spans="3:7" ht="19.2" x14ac:dyDescent="0.3">
      <c r="C91" s="8"/>
      <c r="D91" s="8"/>
      <c r="E91" s="8"/>
      <c r="F91" s="8"/>
      <c r="G91" s="8"/>
    </row>
    <row r="92" spans="3:7" ht="19.2" x14ac:dyDescent="0.3">
      <c r="C92" s="8"/>
      <c r="D92" s="8"/>
      <c r="E92" s="8"/>
      <c r="F92" s="8"/>
      <c r="G92" s="8"/>
    </row>
    <row r="93" spans="3:7" ht="19.2" x14ac:dyDescent="0.3">
      <c r="C93" s="8"/>
      <c r="D93" s="8"/>
      <c r="E93" s="8"/>
      <c r="F93" s="8"/>
      <c r="G93" s="8"/>
    </row>
    <row r="94" spans="3:7" ht="19.2" x14ac:dyDescent="0.3">
      <c r="C94" s="8"/>
      <c r="D94" s="8"/>
      <c r="E94" s="8"/>
      <c r="F94" s="8"/>
      <c r="G94" s="8"/>
    </row>
    <row r="95" spans="3:7" ht="19.2" x14ac:dyDescent="0.3">
      <c r="C95" s="8"/>
      <c r="D95" s="8"/>
      <c r="E95" s="8"/>
      <c r="F95" s="8"/>
      <c r="G95" s="8"/>
    </row>
    <row r="96" spans="3:7" ht="19.2" x14ac:dyDescent="0.3">
      <c r="C96" s="8"/>
      <c r="D96" s="8"/>
      <c r="E96" s="8"/>
      <c r="F96" s="8"/>
      <c r="G96" s="8"/>
    </row>
    <row r="97" spans="3:7" ht="19.2" x14ac:dyDescent="0.3">
      <c r="C97" s="8"/>
      <c r="D97" s="8"/>
      <c r="E97" s="8"/>
      <c r="F97" s="8"/>
      <c r="G97" s="8"/>
    </row>
    <row r="98" spans="3:7" ht="19.2" x14ac:dyDescent="0.3">
      <c r="C98" s="8"/>
      <c r="D98" s="8"/>
      <c r="E98" s="8"/>
      <c r="F98" s="8"/>
      <c r="G98" s="8"/>
    </row>
    <row r="99" spans="3:7" ht="19.2" x14ac:dyDescent="0.3">
      <c r="C99" s="8"/>
      <c r="D99" s="8"/>
      <c r="E99" s="8"/>
      <c r="F99" s="8"/>
      <c r="G99" s="8"/>
    </row>
    <row r="100" spans="3:7" ht="19.2" x14ac:dyDescent="0.3">
      <c r="C100" s="8"/>
      <c r="D100" s="8"/>
      <c r="E100" s="8"/>
      <c r="F100" s="8"/>
      <c r="G100" s="8"/>
    </row>
    <row r="101" spans="3:7" ht="19.2" x14ac:dyDescent="0.3">
      <c r="C101" s="8"/>
      <c r="D101" s="8"/>
      <c r="E101" s="8"/>
      <c r="F101" s="8"/>
      <c r="G101" s="8"/>
    </row>
    <row r="102" spans="3:7" ht="19.2" x14ac:dyDescent="0.3">
      <c r="C102" s="8"/>
      <c r="D102" s="8"/>
      <c r="E102" s="8"/>
      <c r="F102" s="8"/>
      <c r="G102" s="8"/>
    </row>
    <row r="103" spans="3:7" ht="19.2" x14ac:dyDescent="0.3">
      <c r="C103" s="8"/>
      <c r="D103" s="8"/>
      <c r="E103" s="8"/>
      <c r="F103" s="8"/>
      <c r="G103" s="8"/>
    </row>
    <row r="104" spans="3:7" ht="19.2" x14ac:dyDescent="0.3">
      <c r="C104" s="8"/>
      <c r="D104" s="8"/>
      <c r="E104" s="8"/>
      <c r="F104" s="8"/>
      <c r="G104" s="8"/>
    </row>
  </sheetData>
  <mergeCells count="1">
    <mergeCell ref="C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A648-F8B5-4EF7-B05F-816E4898DC1A}">
  <dimension ref="C3:L104"/>
  <sheetViews>
    <sheetView tabSelected="1" workbookViewId="0">
      <selection activeCell="F15" sqref="F15"/>
    </sheetView>
  </sheetViews>
  <sheetFormatPr defaultRowHeight="14.4" x14ac:dyDescent="0.3"/>
  <cols>
    <col min="4" max="4" width="17.109375" bestFit="1" customWidth="1"/>
    <col min="5" max="5" width="21.109375" customWidth="1"/>
    <col min="6" max="6" width="12.6640625" customWidth="1"/>
    <col min="7" max="7" width="14.21875" customWidth="1"/>
  </cols>
  <sheetData>
    <row r="3" spans="3:12" ht="38.4" x14ac:dyDescent="0.3">
      <c r="C3" s="18" t="s">
        <v>127</v>
      </c>
      <c r="D3" s="18"/>
      <c r="E3" s="18"/>
      <c r="F3" s="18"/>
      <c r="G3" s="18"/>
    </row>
    <row r="4" spans="3:12" ht="22.2" x14ac:dyDescent="0.3">
      <c r="C4" s="1" t="s">
        <v>2</v>
      </c>
      <c r="D4" s="1" t="s">
        <v>125</v>
      </c>
      <c r="E4" s="1" t="s">
        <v>126</v>
      </c>
      <c r="F4" s="3" t="s">
        <v>119</v>
      </c>
      <c r="G4" s="1" t="s">
        <v>120</v>
      </c>
    </row>
    <row r="5" spans="3:12" ht="19.2" x14ac:dyDescent="0.3">
      <c r="C5" s="2" t="s">
        <v>3</v>
      </c>
      <c r="D5" s="2">
        <v>0.77</v>
      </c>
      <c r="E5" s="2">
        <v>0.82</v>
      </c>
      <c r="F5" s="2">
        <f>ABS(D5-E5)</f>
        <v>4.9999999999999933E-2</v>
      </c>
      <c r="G5" s="2">
        <f>(D5-E5)^2</f>
        <v>2.4999999999999935E-3</v>
      </c>
    </row>
    <row r="6" spans="3:12" ht="19.2" x14ac:dyDescent="0.3">
      <c r="C6" s="2" t="s">
        <v>4</v>
      </c>
      <c r="D6" s="2">
        <v>0.77</v>
      </c>
      <c r="E6" s="2">
        <v>0.81</v>
      </c>
      <c r="F6" s="2">
        <f t="shared" ref="F6:F14" si="0">ABS(D6-E6)</f>
        <v>4.0000000000000036E-2</v>
      </c>
      <c r="G6" s="2">
        <f t="shared" ref="G6:G14" si="1">(D6-E6)^2</f>
        <v>1.6000000000000029E-3</v>
      </c>
    </row>
    <row r="7" spans="3:12" ht="19.2" x14ac:dyDescent="0.3">
      <c r="C7" s="2" t="s">
        <v>5</v>
      </c>
      <c r="D7" s="2">
        <v>0.77</v>
      </c>
      <c r="E7" s="2">
        <v>0.81</v>
      </c>
      <c r="F7" s="2">
        <f t="shared" si="0"/>
        <v>4.0000000000000036E-2</v>
      </c>
      <c r="G7" s="2">
        <f t="shared" si="1"/>
        <v>1.6000000000000029E-3</v>
      </c>
      <c r="L7" s="21"/>
    </row>
    <row r="8" spans="3:12" ht="19.2" x14ac:dyDescent="0.3">
      <c r="C8" s="2" t="s">
        <v>6</v>
      </c>
      <c r="D8" s="2">
        <v>0.76</v>
      </c>
      <c r="E8" s="2">
        <v>0.81</v>
      </c>
      <c r="F8" s="2">
        <f t="shared" si="0"/>
        <v>5.0000000000000044E-2</v>
      </c>
      <c r="G8" s="2">
        <f t="shared" si="1"/>
        <v>2.5000000000000044E-3</v>
      </c>
      <c r="L8" s="21"/>
    </row>
    <row r="9" spans="3:12" ht="19.2" x14ac:dyDescent="0.3">
      <c r="C9" s="2" t="s">
        <v>7</v>
      </c>
      <c r="D9" s="2">
        <v>0.76</v>
      </c>
      <c r="E9" s="2">
        <v>0.81</v>
      </c>
      <c r="F9" s="2">
        <f t="shared" si="0"/>
        <v>5.0000000000000044E-2</v>
      </c>
      <c r="G9" s="2">
        <f t="shared" si="1"/>
        <v>2.5000000000000044E-3</v>
      </c>
      <c r="L9" s="21"/>
    </row>
    <row r="10" spans="3:12" ht="19.2" x14ac:dyDescent="0.3">
      <c r="C10" s="2" t="s">
        <v>8</v>
      </c>
      <c r="D10" s="2">
        <v>0.81</v>
      </c>
      <c r="E10" s="2">
        <v>0.84</v>
      </c>
      <c r="F10" s="2">
        <f t="shared" si="0"/>
        <v>2.9999999999999916E-2</v>
      </c>
      <c r="G10" s="2">
        <f t="shared" si="1"/>
        <v>8.9999999999999499E-4</v>
      </c>
      <c r="L10" s="21"/>
    </row>
    <row r="11" spans="3:12" ht="19.2" x14ac:dyDescent="0.3">
      <c r="C11" s="2" t="s">
        <v>9</v>
      </c>
      <c r="D11" s="2">
        <v>0.77</v>
      </c>
      <c r="E11" s="2">
        <v>0.83</v>
      </c>
      <c r="F11" s="2">
        <f t="shared" si="0"/>
        <v>5.9999999999999942E-2</v>
      </c>
      <c r="G11" s="2">
        <f t="shared" si="1"/>
        <v>3.599999999999993E-3</v>
      </c>
      <c r="L11" s="21"/>
    </row>
    <row r="12" spans="3:12" ht="19.2" x14ac:dyDescent="0.3">
      <c r="C12" s="2" t="s">
        <v>10</v>
      </c>
      <c r="D12" s="2">
        <v>0.77</v>
      </c>
      <c r="E12" s="2">
        <v>0.83</v>
      </c>
      <c r="F12" s="2">
        <f t="shared" si="0"/>
        <v>5.9999999999999942E-2</v>
      </c>
      <c r="G12" s="2">
        <f t="shared" si="1"/>
        <v>3.599999999999993E-3</v>
      </c>
      <c r="L12" s="21"/>
    </row>
    <row r="13" spans="3:12" ht="19.2" x14ac:dyDescent="0.3">
      <c r="C13" s="2" t="s">
        <v>11</v>
      </c>
      <c r="D13" s="2">
        <v>0.76</v>
      </c>
      <c r="E13" s="2">
        <v>0.81</v>
      </c>
      <c r="F13" s="2">
        <f t="shared" si="0"/>
        <v>5.0000000000000044E-2</v>
      </c>
      <c r="G13" s="2">
        <f t="shared" si="1"/>
        <v>2.5000000000000044E-3</v>
      </c>
      <c r="L13" s="21"/>
    </row>
    <row r="14" spans="3:12" ht="19.2" x14ac:dyDescent="0.3">
      <c r="C14" s="2" t="s">
        <v>12</v>
      </c>
      <c r="D14" s="2">
        <v>0.76</v>
      </c>
      <c r="E14" s="2">
        <v>0.82</v>
      </c>
      <c r="F14" s="2">
        <f t="shared" si="0"/>
        <v>5.9999999999999942E-2</v>
      </c>
      <c r="G14" s="2">
        <f t="shared" si="1"/>
        <v>3.599999999999993E-3</v>
      </c>
      <c r="L14" s="21"/>
    </row>
    <row r="15" spans="3:12" ht="19.2" x14ac:dyDescent="0.3">
      <c r="C15" s="8"/>
      <c r="D15" s="8"/>
      <c r="E15" s="14" t="s">
        <v>124</v>
      </c>
      <c r="F15" s="15">
        <f>AVERAGE(F5:F14)</f>
        <v>4.8999999999999988E-2</v>
      </c>
      <c r="G15" s="15">
        <f>SQRT(AVERAGE(G5:G14))</f>
        <v>4.9899899799498576E-2</v>
      </c>
      <c r="L15" s="21"/>
    </row>
    <row r="16" spans="3:12" ht="19.2" x14ac:dyDescent="0.3">
      <c r="C16" s="8"/>
      <c r="D16" s="8"/>
      <c r="E16" s="8"/>
      <c r="F16" s="8"/>
      <c r="G16" s="8"/>
      <c r="L16" s="21"/>
    </row>
    <row r="17" spans="3:12" ht="19.2" x14ac:dyDescent="0.3">
      <c r="C17" s="8"/>
      <c r="D17" s="8"/>
      <c r="E17" s="8"/>
      <c r="F17" s="8"/>
      <c r="G17" s="8"/>
      <c r="L17" s="21"/>
    </row>
    <row r="18" spans="3:12" ht="19.2" x14ac:dyDescent="0.3">
      <c r="C18" s="8"/>
      <c r="D18" s="8"/>
      <c r="E18" s="8"/>
      <c r="F18" s="8"/>
      <c r="G18" s="8"/>
      <c r="L18" s="21"/>
    </row>
    <row r="19" spans="3:12" ht="19.2" x14ac:dyDescent="0.3">
      <c r="C19" s="8"/>
      <c r="D19" s="8"/>
      <c r="E19" s="8"/>
      <c r="F19" s="8"/>
      <c r="G19" s="8"/>
      <c r="L19" s="21"/>
    </row>
    <row r="20" spans="3:12" ht="19.2" x14ac:dyDescent="0.3">
      <c r="C20" s="8"/>
      <c r="D20" s="8"/>
      <c r="E20" s="8"/>
      <c r="F20" s="8"/>
      <c r="G20" s="8"/>
      <c r="L20" s="21"/>
    </row>
    <row r="21" spans="3:12" ht="19.2" x14ac:dyDescent="0.3">
      <c r="C21" s="8"/>
      <c r="D21" s="8"/>
      <c r="E21" s="8"/>
      <c r="F21" s="8"/>
      <c r="G21" s="8"/>
      <c r="L21" s="21"/>
    </row>
    <row r="22" spans="3:12" ht="19.2" x14ac:dyDescent="0.3">
      <c r="C22" s="8"/>
      <c r="D22" s="8"/>
      <c r="E22" s="8"/>
      <c r="F22" s="8"/>
      <c r="G22" s="8"/>
      <c r="L22" s="21"/>
    </row>
    <row r="23" spans="3:12" ht="19.2" x14ac:dyDescent="0.3">
      <c r="C23" s="8"/>
      <c r="D23" s="8"/>
      <c r="E23" s="8"/>
      <c r="F23" s="8"/>
      <c r="G23" s="8"/>
      <c r="L23" s="21"/>
    </row>
    <row r="24" spans="3:12" ht="19.2" x14ac:dyDescent="0.3">
      <c r="C24" s="8"/>
      <c r="D24" s="8"/>
      <c r="E24" s="8"/>
      <c r="F24" s="8"/>
      <c r="G24" s="8"/>
      <c r="L24" s="21"/>
    </row>
    <row r="25" spans="3:12" ht="19.2" x14ac:dyDescent="0.3">
      <c r="C25" s="8"/>
      <c r="D25" s="8"/>
      <c r="E25" s="8"/>
      <c r="F25" s="8"/>
      <c r="G25" s="8"/>
      <c r="L25" s="21"/>
    </row>
    <row r="26" spans="3:12" ht="19.2" x14ac:dyDescent="0.3">
      <c r="C26" s="8"/>
      <c r="D26" s="8"/>
      <c r="E26" s="8"/>
      <c r="F26" s="8"/>
      <c r="G26" s="8"/>
      <c r="L26" s="21"/>
    </row>
    <row r="27" spans="3:12" ht="19.2" x14ac:dyDescent="0.3">
      <c r="C27" s="8"/>
      <c r="D27" s="8"/>
      <c r="E27" s="8"/>
      <c r="F27" s="8"/>
      <c r="G27" s="8"/>
      <c r="L27" s="21"/>
    </row>
    <row r="28" spans="3:12" ht="19.2" x14ac:dyDescent="0.3">
      <c r="C28" s="8"/>
      <c r="D28" s="8"/>
      <c r="E28" s="8"/>
      <c r="F28" s="8"/>
      <c r="G28" s="8"/>
      <c r="L28" s="21"/>
    </row>
    <row r="29" spans="3:12" ht="19.2" x14ac:dyDescent="0.3">
      <c r="C29" s="8"/>
      <c r="D29" s="8"/>
      <c r="E29" s="8"/>
      <c r="F29" s="8"/>
      <c r="G29" s="8"/>
      <c r="L29" s="21"/>
    </row>
    <row r="30" spans="3:12" ht="19.2" x14ac:dyDescent="0.3">
      <c r="C30" s="8"/>
      <c r="D30" s="8"/>
      <c r="E30" s="8"/>
      <c r="F30" s="8"/>
      <c r="G30" s="8"/>
      <c r="L30" s="21"/>
    </row>
    <row r="31" spans="3:12" ht="19.2" x14ac:dyDescent="0.3">
      <c r="C31" s="8"/>
      <c r="D31" s="8"/>
      <c r="E31" s="8"/>
      <c r="F31" s="8"/>
      <c r="G31" s="8"/>
      <c r="L31" s="21"/>
    </row>
    <row r="32" spans="3:12" ht="19.2" x14ac:dyDescent="0.3">
      <c r="C32" s="8"/>
      <c r="D32" s="8"/>
      <c r="E32" s="8"/>
      <c r="F32" s="8"/>
      <c r="G32" s="8"/>
      <c r="L32" s="21"/>
    </row>
    <row r="33" spans="3:12" ht="19.2" x14ac:dyDescent="0.3">
      <c r="C33" s="8"/>
      <c r="D33" s="8"/>
      <c r="E33" s="8"/>
      <c r="F33" s="8"/>
      <c r="G33" s="8"/>
      <c r="L33" s="21"/>
    </row>
    <row r="34" spans="3:12" ht="19.2" x14ac:dyDescent="0.3">
      <c r="C34" s="8"/>
      <c r="D34" s="8"/>
      <c r="E34" s="8"/>
      <c r="F34" s="8"/>
      <c r="G34" s="8"/>
      <c r="L34" s="21"/>
    </row>
    <row r="35" spans="3:12" ht="19.2" x14ac:dyDescent="0.3">
      <c r="C35" s="8"/>
      <c r="D35" s="8"/>
      <c r="E35" s="8"/>
      <c r="F35" s="8"/>
      <c r="G35" s="8"/>
      <c r="L35" s="21"/>
    </row>
    <row r="36" spans="3:12" ht="19.2" x14ac:dyDescent="0.3">
      <c r="C36" s="8"/>
      <c r="D36" s="8"/>
      <c r="E36" s="8"/>
      <c r="F36" s="8"/>
      <c r="G36" s="8"/>
      <c r="L36" s="21"/>
    </row>
    <row r="37" spans="3:12" ht="19.2" x14ac:dyDescent="0.3">
      <c r="C37" s="8"/>
      <c r="D37" s="8"/>
      <c r="E37" s="8"/>
      <c r="F37" s="8"/>
      <c r="G37" s="8"/>
      <c r="L37" s="21"/>
    </row>
    <row r="38" spans="3:12" ht="19.2" x14ac:dyDescent="0.3">
      <c r="C38" s="8"/>
      <c r="D38" s="8"/>
      <c r="E38" s="8"/>
      <c r="F38" s="8"/>
      <c r="G38" s="8"/>
      <c r="L38" s="21"/>
    </row>
    <row r="39" spans="3:12" ht="19.2" x14ac:dyDescent="0.3">
      <c r="C39" s="8"/>
      <c r="D39" s="8"/>
      <c r="E39" s="8"/>
      <c r="F39" s="8"/>
      <c r="G39" s="8"/>
      <c r="L39" s="21"/>
    </row>
    <row r="40" spans="3:12" ht="19.2" x14ac:dyDescent="0.3">
      <c r="C40" s="8"/>
      <c r="D40" s="8"/>
      <c r="E40" s="8"/>
      <c r="F40" s="8"/>
      <c r="G40" s="8"/>
      <c r="L40" s="21"/>
    </row>
    <row r="41" spans="3:12" ht="19.2" x14ac:dyDescent="0.3">
      <c r="C41" s="8"/>
      <c r="D41" s="8"/>
      <c r="E41" s="8"/>
      <c r="F41" s="8"/>
      <c r="G41" s="8"/>
      <c r="L41" s="21"/>
    </row>
    <row r="42" spans="3:12" ht="19.2" x14ac:dyDescent="0.3">
      <c r="C42" s="8"/>
      <c r="D42" s="8"/>
      <c r="E42" s="8"/>
      <c r="F42" s="8"/>
      <c r="G42" s="8"/>
      <c r="L42" s="21"/>
    </row>
    <row r="43" spans="3:12" ht="19.2" x14ac:dyDescent="0.3">
      <c r="C43" s="8"/>
      <c r="D43" s="8"/>
      <c r="E43" s="8"/>
      <c r="F43" s="8"/>
      <c r="G43" s="8"/>
      <c r="L43" s="21"/>
    </row>
    <row r="44" spans="3:12" ht="19.2" x14ac:dyDescent="0.3">
      <c r="C44" s="8"/>
      <c r="D44" s="8"/>
      <c r="E44" s="8"/>
      <c r="F44" s="8"/>
      <c r="G44" s="8"/>
      <c r="L44" s="21"/>
    </row>
    <row r="45" spans="3:12" ht="19.2" x14ac:dyDescent="0.3">
      <c r="C45" s="8"/>
      <c r="D45" s="8"/>
      <c r="E45" s="8"/>
      <c r="F45" s="8"/>
      <c r="G45" s="8"/>
      <c r="L45" s="21"/>
    </row>
    <row r="46" spans="3:12" ht="19.2" x14ac:dyDescent="0.3">
      <c r="C46" s="8"/>
      <c r="D46" s="8"/>
      <c r="E46" s="8"/>
      <c r="F46" s="8"/>
      <c r="G46" s="8"/>
      <c r="L46" s="21"/>
    </row>
    <row r="47" spans="3:12" ht="19.2" x14ac:dyDescent="0.3">
      <c r="C47" s="8"/>
      <c r="D47" s="8"/>
      <c r="E47" s="8"/>
      <c r="F47" s="8"/>
      <c r="G47" s="8"/>
      <c r="L47" s="21"/>
    </row>
    <row r="48" spans="3:12" ht="19.2" x14ac:dyDescent="0.3">
      <c r="C48" s="8"/>
      <c r="D48" s="8"/>
      <c r="E48" s="8"/>
      <c r="F48" s="8"/>
      <c r="G48" s="8"/>
      <c r="L48" s="21"/>
    </row>
    <row r="49" spans="3:12" ht="19.2" x14ac:dyDescent="0.3">
      <c r="C49" s="8"/>
      <c r="D49" s="8"/>
      <c r="E49" s="8"/>
      <c r="F49" s="8"/>
      <c r="G49" s="8"/>
      <c r="L49" s="21"/>
    </row>
    <row r="50" spans="3:12" ht="19.2" x14ac:dyDescent="0.3">
      <c r="C50" s="8"/>
      <c r="D50" s="8"/>
      <c r="E50" s="8"/>
      <c r="F50" s="8"/>
      <c r="G50" s="8"/>
      <c r="L50" s="21"/>
    </row>
    <row r="51" spans="3:12" ht="19.2" x14ac:dyDescent="0.3">
      <c r="C51" s="8"/>
      <c r="D51" s="8"/>
      <c r="E51" s="8"/>
      <c r="F51" s="8"/>
      <c r="G51" s="8"/>
      <c r="L51" s="21"/>
    </row>
    <row r="52" spans="3:12" ht="19.2" x14ac:dyDescent="0.3">
      <c r="C52" s="8"/>
      <c r="D52" s="8"/>
      <c r="E52" s="8"/>
      <c r="F52" s="8"/>
      <c r="G52" s="8"/>
      <c r="L52" s="21"/>
    </row>
    <row r="53" spans="3:12" ht="19.2" x14ac:dyDescent="0.3">
      <c r="C53" s="8"/>
      <c r="D53" s="8"/>
      <c r="E53" s="8"/>
      <c r="F53" s="8"/>
      <c r="G53" s="8"/>
      <c r="L53" s="21"/>
    </row>
    <row r="54" spans="3:12" ht="19.2" x14ac:dyDescent="0.3">
      <c r="C54" s="8"/>
      <c r="D54" s="8"/>
      <c r="E54" s="8"/>
      <c r="F54" s="8"/>
      <c r="G54" s="8"/>
      <c r="L54" s="21"/>
    </row>
    <row r="55" spans="3:12" ht="19.2" x14ac:dyDescent="0.3">
      <c r="C55" s="8"/>
      <c r="D55" s="8"/>
      <c r="E55" s="8"/>
      <c r="F55" s="8"/>
      <c r="G55" s="8"/>
      <c r="L55" s="21"/>
    </row>
    <row r="56" spans="3:12" ht="19.2" x14ac:dyDescent="0.3">
      <c r="C56" s="8"/>
      <c r="D56" s="8"/>
      <c r="E56" s="8"/>
      <c r="F56" s="8"/>
      <c r="G56" s="8"/>
      <c r="L56" s="21"/>
    </row>
    <row r="57" spans="3:12" ht="19.2" x14ac:dyDescent="0.3">
      <c r="C57" s="8"/>
      <c r="D57" s="8"/>
      <c r="E57" s="8"/>
      <c r="F57" s="8"/>
      <c r="G57" s="8"/>
      <c r="L57" s="21"/>
    </row>
    <row r="58" spans="3:12" ht="19.2" x14ac:dyDescent="0.3">
      <c r="C58" s="8"/>
      <c r="D58" s="8"/>
      <c r="E58" s="8"/>
      <c r="F58" s="8"/>
      <c r="G58" s="8"/>
      <c r="L58" s="21"/>
    </row>
    <row r="59" spans="3:12" ht="19.2" x14ac:dyDescent="0.3">
      <c r="C59" s="8"/>
      <c r="D59" s="8"/>
      <c r="E59" s="8"/>
      <c r="F59" s="8"/>
      <c r="G59" s="8"/>
      <c r="L59" s="21"/>
    </row>
    <row r="60" spans="3:12" ht="19.2" x14ac:dyDescent="0.3">
      <c r="C60" s="8"/>
      <c r="D60" s="8"/>
      <c r="E60" s="8"/>
      <c r="F60" s="8"/>
      <c r="G60" s="8"/>
      <c r="L60" s="21"/>
    </row>
    <row r="61" spans="3:12" ht="19.2" x14ac:dyDescent="0.3">
      <c r="C61" s="8"/>
      <c r="D61" s="8"/>
      <c r="E61" s="8"/>
      <c r="F61" s="8"/>
      <c r="G61" s="8"/>
      <c r="L61" s="21"/>
    </row>
    <row r="62" spans="3:12" ht="19.2" x14ac:dyDescent="0.3">
      <c r="C62" s="8"/>
      <c r="D62" s="8"/>
      <c r="E62" s="8"/>
      <c r="F62" s="8"/>
      <c r="G62" s="8"/>
      <c r="L62" s="21"/>
    </row>
    <row r="63" spans="3:12" ht="19.2" x14ac:dyDescent="0.3">
      <c r="C63" s="8"/>
      <c r="D63" s="8"/>
      <c r="E63" s="8"/>
      <c r="F63" s="8"/>
      <c r="G63" s="8"/>
      <c r="L63" s="21"/>
    </row>
    <row r="64" spans="3:12" ht="19.2" x14ac:dyDescent="0.3">
      <c r="C64" s="8"/>
      <c r="D64" s="8"/>
      <c r="E64" s="8"/>
      <c r="F64" s="8"/>
      <c r="G64" s="8"/>
      <c r="L64" s="21"/>
    </row>
    <row r="65" spans="3:12" ht="19.2" x14ac:dyDescent="0.3">
      <c r="C65" s="8"/>
      <c r="D65" s="8"/>
      <c r="E65" s="8"/>
      <c r="F65" s="8"/>
      <c r="G65" s="8"/>
      <c r="L65" s="21"/>
    </row>
    <row r="66" spans="3:12" ht="19.2" x14ac:dyDescent="0.3">
      <c r="C66" s="8"/>
      <c r="D66" s="8"/>
      <c r="E66" s="8"/>
      <c r="F66" s="8"/>
      <c r="G66" s="8"/>
      <c r="L66" s="21"/>
    </row>
    <row r="67" spans="3:12" ht="19.2" x14ac:dyDescent="0.3">
      <c r="C67" s="8"/>
      <c r="D67" s="8"/>
      <c r="E67" s="8"/>
      <c r="F67" s="8"/>
      <c r="G67" s="8"/>
      <c r="L67" s="21"/>
    </row>
    <row r="68" spans="3:12" ht="19.2" x14ac:dyDescent="0.3">
      <c r="C68" s="8"/>
      <c r="D68" s="8"/>
      <c r="E68" s="8"/>
      <c r="F68" s="8"/>
      <c r="G68" s="8"/>
      <c r="L68" s="21"/>
    </row>
    <row r="69" spans="3:12" ht="19.2" x14ac:dyDescent="0.3">
      <c r="C69" s="8"/>
      <c r="D69" s="8"/>
      <c r="E69" s="8"/>
      <c r="F69" s="8"/>
      <c r="G69" s="8"/>
      <c r="L69" s="21"/>
    </row>
    <row r="70" spans="3:12" ht="19.2" x14ac:dyDescent="0.3">
      <c r="C70" s="8"/>
      <c r="D70" s="8"/>
      <c r="E70" s="8"/>
      <c r="F70" s="8"/>
      <c r="G70" s="8"/>
      <c r="L70" s="21"/>
    </row>
    <row r="71" spans="3:12" ht="19.2" x14ac:dyDescent="0.3">
      <c r="C71" s="8"/>
      <c r="D71" s="8"/>
      <c r="E71" s="8"/>
      <c r="F71" s="8"/>
      <c r="G71" s="8"/>
      <c r="L71" s="21"/>
    </row>
    <row r="72" spans="3:12" ht="19.2" x14ac:dyDescent="0.3">
      <c r="C72" s="8"/>
      <c r="D72" s="8"/>
      <c r="E72" s="8"/>
      <c r="F72" s="8"/>
      <c r="G72" s="8"/>
      <c r="L72" s="21"/>
    </row>
    <row r="73" spans="3:12" ht="19.2" x14ac:dyDescent="0.3">
      <c r="C73" s="8"/>
      <c r="D73" s="8"/>
      <c r="E73" s="8"/>
      <c r="F73" s="8"/>
      <c r="G73" s="8"/>
      <c r="L73" s="21"/>
    </row>
    <row r="74" spans="3:12" ht="19.2" x14ac:dyDescent="0.3">
      <c r="C74" s="8"/>
      <c r="D74" s="8"/>
      <c r="E74" s="8"/>
      <c r="F74" s="8"/>
      <c r="G74" s="8"/>
      <c r="L74" s="21"/>
    </row>
    <row r="75" spans="3:12" ht="19.2" x14ac:dyDescent="0.3">
      <c r="C75" s="8"/>
      <c r="D75" s="8"/>
      <c r="E75" s="8"/>
      <c r="F75" s="8"/>
      <c r="G75" s="8"/>
      <c r="L75" s="21"/>
    </row>
    <row r="76" spans="3:12" ht="19.2" x14ac:dyDescent="0.3">
      <c r="C76" s="8"/>
      <c r="D76" s="8"/>
      <c r="E76" s="8"/>
      <c r="F76" s="8"/>
      <c r="G76" s="8"/>
      <c r="L76" s="21"/>
    </row>
    <row r="77" spans="3:12" ht="19.2" x14ac:dyDescent="0.3">
      <c r="C77" s="8"/>
      <c r="D77" s="8"/>
      <c r="E77" s="8"/>
      <c r="F77" s="8"/>
      <c r="G77" s="8"/>
      <c r="L77" s="21"/>
    </row>
    <row r="78" spans="3:12" ht="19.2" x14ac:dyDescent="0.3">
      <c r="C78" s="8"/>
      <c r="D78" s="8"/>
      <c r="E78" s="8"/>
      <c r="F78" s="8"/>
      <c r="G78" s="8"/>
      <c r="L78" s="21"/>
    </row>
    <row r="79" spans="3:12" ht="19.2" x14ac:dyDescent="0.3">
      <c r="C79" s="8"/>
      <c r="D79" s="8"/>
      <c r="E79" s="8"/>
      <c r="F79" s="8"/>
      <c r="G79" s="8"/>
      <c r="L79" s="21"/>
    </row>
    <row r="80" spans="3:12" ht="19.2" x14ac:dyDescent="0.3">
      <c r="C80" s="8"/>
      <c r="D80" s="8"/>
      <c r="E80" s="8"/>
      <c r="F80" s="8"/>
      <c r="G80" s="8"/>
      <c r="L80" s="21"/>
    </row>
    <row r="81" spans="3:12" ht="19.2" x14ac:dyDescent="0.3">
      <c r="C81" s="8"/>
      <c r="D81" s="8"/>
      <c r="E81" s="8"/>
      <c r="F81" s="8"/>
      <c r="G81" s="8"/>
      <c r="L81" s="21"/>
    </row>
    <row r="82" spans="3:12" ht="19.2" x14ac:dyDescent="0.3">
      <c r="C82" s="8"/>
      <c r="D82" s="8"/>
      <c r="E82" s="8"/>
      <c r="F82" s="8"/>
      <c r="G82" s="8"/>
      <c r="L82" s="21"/>
    </row>
    <row r="83" spans="3:12" ht="19.2" x14ac:dyDescent="0.3">
      <c r="C83" s="8"/>
      <c r="D83" s="8"/>
      <c r="E83" s="8"/>
      <c r="F83" s="8"/>
      <c r="G83" s="8"/>
      <c r="L83" s="21"/>
    </row>
    <row r="84" spans="3:12" ht="19.2" x14ac:dyDescent="0.3">
      <c r="C84" s="8"/>
      <c r="D84" s="8"/>
      <c r="E84" s="8"/>
      <c r="F84" s="8"/>
      <c r="G84" s="8"/>
      <c r="L84" s="21"/>
    </row>
    <row r="85" spans="3:12" ht="19.2" x14ac:dyDescent="0.3">
      <c r="C85" s="8"/>
      <c r="D85" s="8"/>
      <c r="E85" s="8"/>
      <c r="F85" s="8"/>
      <c r="G85" s="8"/>
      <c r="L85" s="21"/>
    </row>
    <row r="86" spans="3:12" ht="19.2" x14ac:dyDescent="0.3">
      <c r="C86" s="8"/>
      <c r="D86" s="8"/>
      <c r="E86" s="8"/>
      <c r="F86" s="8"/>
      <c r="G86" s="8"/>
      <c r="L86" s="21"/>
    </row>
    <row r="87" spans="3:12" ht="19.2" x14ac:dyDescent="0.3">
      <c r="C87" s="8"/>
      <c r="D87" s="8"/>
      <c r="E87" s="8"/>
      <c r="F87" s="8"/>
      <c r="G87" s="8"/>
      <c r="L87" s="21"/>
    </row>
    <row r="88" spans="3:12" ht="19.2" x14ac:dyDescent="0.3">
      <c r="C88" s="8"/>
      <c r="D88" s="8"/>
      <c r="E88" s="8"/>
      <c r="F88" s="8"/>
      <c r="G88" s="8"/>
      <c r="L88" s="21"/>
    </row>
    <row r="89" spans="3:12" ht="19.2" x14ac:dyDescent="0.3">
      <c r="C89" s="8"/>
      <c r="D89" s="8"/>
      <c r="E89" s="8"/>
      <c r="F89" s="8"/>
      <c r="G89" s="8"/>
      <c r="L89" s="21"/>
    </row>
    <row r="90" spans="3:12" ht="19.2" x14ac:dyDescent="0.3">
      <c r="C90" s="8"/>
      <c r="D90" s="8"/>
      <c r="E90" s="8"/>
      <c r="F90" s="8"/>
      <c r="G90" s="8"/>
      <c r="L90" s="21"/>
    </row>
    <row r="91" spans="3:12" ht="19.2" x14ac:dyDescent="0.3">
      <c r="C91" s="8"/>
      <c r="D91" s="8"/>
      <c r="E91" s="8"/>
      <c r="F91" s="8"/>
      <c r="G91" s="8"/>
      <c r="L91" s="21"/>
    </row>
    <row r="92" spans="3:12" ht="19.2" x14ac:dyDescent="0.3">
      <c r="C92" s="8"/>
      <c r="D92" s="8"/>
      <c r="E92" s="8"/>
      <c r="F92" s="8"/>
      <c r="G92" s="8"/>
      <c r="L92" s="21"/>
    </row>
    <row r="93" spans="3:12" ht="19.2" x14ac:dyDescent="0.3">
      <c r="C93" s="8"/>
      <c r="D93" s="8"/>
      <c r="E93" s="8"/>
      <c r="F93" s="8"/>
      <c r="G93" s="8"/>
      <c r="L93" s="21"/>
    </row>
    <row r="94" spans="3:12" ht="19.2" x14ac:dyDescent="0.3">
      <c r="C94" s="8"/>
      <c r="D94" s="8"/>
      <c r="E94" s="8"/>
      <c r="F94" s="8"/>
      <c r="G94" s="8"/>
      <c r="L94" s="21"/>
    </row>
    <row r="95" spans="3:12" ht="19.2" x14ac:dyDescent="0.3">
      <c r="C95" s="8"/>
      <c r="D95" s="8"/>
      <c r="E95" s="8"/>
      <c r="F95" s="8"/>
      <c r="G95" s="8"/>
      <c r="L95" s="21"/>
    </row>
    <row r="96" spans="3:12" ht="19.2" x14ac:dyDescent="0.3">
      <c r="C96" s="8"/>
      <c r="D96" s="8"/>
      <c r="E96" s="8"/>
      <c r="F96" s="8"/>
      <c r="G96" s="8"/>
      <c r="L96" s="21"/>
    </row>
    <row r="97" spans="3:12" ht="19.2" x14ac:dyDescent="0.3">
      <c r="C97" s="8"/>
      <c r="D97" s="8"/>
      <c r="E97" s="8"/>
      <c r="F97" s="8"/>
      <c r="G97" s="8"/>
      <c r="L97" s="21"/>
    </row>
    <row r="98" spans="3:12" ht="19.2" x14ac:dyDescent="0.3">
      <c r="C98" s="8"/>
      <c r="D98" s="8"/>
      <c r="E98" s="8"/>
      <c r="F98" s="8"/>
      <c r="G98" s="8"/>
      <c r="L98" s="21"/>
    </row>
    <row r="99" spans="3:12" ht="19.2" x14ac:dyDescent="0.3">
      <c r="C99" s="8"/>
      <c r="D99" s="8"/>
      <c r="E99" s="8"/>
      <c r="F99" s="8"/>
      <c r="G99" s="8"/>
      <c r="L99" s="21"/>
    </row>
    <row r="100" spans="3:12" ht="19.2" x14ac:dyDescent="0.3">
      <c r="C100" s="8"/>
      <c r="D100" s="8"/>
      <c r="E100" s="8"/>
      <c r="F100" s="8"/>
      <c r="G100" s="8"/>
      <c r="L100" s="21"/>
    </row>
    <row r="101" spans="3:12" ht="19.2" x14ac:dyDescent="0.3">
      <c r="C101" s="8"/>
      <c r="D101" s="8"/>
      <c r="E101" s="8"/>
      <c r="F101" s="8"/>
      <c r="G101" s="8"/>
      <c r="L101" s="21"/>
    </row>
    <row r="102" spans="3:12" ht="19.2" x14ac:dyDescent="0.3">
      <c r="C102" s="8"/>
      <c r="D102" s="8"/>
      <c r="E102" s="8"/>
      <c r="F102" s="8"/>
      <c r="G102" s="8"/>
      <c r="L102" s="21"/>
    </row>
    <row r="103" spans="3:12" ht="19.2" x14ac:dyDescent="0.3">
      <c r="C103" s="8"/>
      <c r="D103" s="8"/>
      <c r="E103" s="8"/>
      <c r="F103" s="8"/>
      <c r="G103" s="8"/>
    </row>
    <row r="104" spans="3:12" ht="19.2" x14ac:dyDescent="0.3">
      <c r="C104" s="8"/>
      <c r="D104" s="8"/>
      <c r="E104" s="8"/>
      <c r="F104" s="8"/>
      <c r="G104" s="8"/>
    </row>
  </sheetData>
  <mergeCells count="1">
    <mergeCell ref="C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1A84439FA1F41A228CCA15A8E1736" ma:contentTypeVersion="13" ma:contentTypeDescription="Crear nuevo documento." ma:contentTypeScope="" ma:versionID="417702a6d11367c8dd9d1df37f5b52a2">
  <xsd:schema xmlns:xsd="http://www.w3.org/2001/XMLSchema" xmlns:xs="http://www.w3.org/2001/XMLSchema" xmlns:p="http://schemas.microsoft.com/office/2006/metadata/properties" xmlns:ns3="e748d00b-ffb7-4af5-bea7-a53bc4f6d6dd" xmlns:ns4="994fce21-a0e7-4d3c-af76-317d72340451" targetNamespace="http://schemas.microsoft.com/office/2006/metadata/properties" ma:root="true" ma:fieldsID="19d4bec64d9811c2f3ae66d23094c641" ns3:_="" ns4:_="">
    <xsd:import namespace="e748d00b-ffb7-4af5-bea7-a53bc4f6d6dd"/>
    <xsd:import namespace="994fce21-a0e7-4d3c-af76-317d7234045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8d00b-ffb7-4af5-bea7-a53bc4f6d6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fce21-a0e7-4d3c-af76-317d723404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4fce21-a0e7-4d3c-af76-317d72340451" xsi:nil="true"/>
  </documentManagement>
</p:properties>
</file>

<file path=customXml/itemProps1.xml><?xml version="1.0" encoding="utf-8"?>
<ds:datastoreItem xmlns:ds="http://schemas.openxmlformats.org/officeDocument/2006/customXml" ds:itemID="{2A965534-1CFF-4151-89F1-40E3928C0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48d00b-ffb7-4af5-bea7-a53bc4f6d6dd"/>
    <ds:schemaRef ds:uri="994fce21-a0e7-4d3c-af76-317d723404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8E481B-5954-4327-BA37-6A32DC1171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47ADC-70D1-4B76-83F9-622B2008E555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748d00b-ffb7-4af5-bea7-a53bc4f6d6dd"/>
    <ds:schemaRef ds:uri="http://purl.org/dc/dcmitype/"/>
    <ds:schemaRef ds:uri="994fce21-a0e7-4d3c-af76-317d72340451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50m</vt:lpstr>
      <vt:lpstr>Sheet1</vt:lpstr>
      <vt:lpstr>100m</vt:lpstr>
      <vt:lpstr>150m</vt:lpstr>
      <vt:lpstr>200m</vt:lpstr>
      <vt:lpstr>Ph</vt:lpstr>
      <vt:lpstr>OD</vt:lpstr>
      <vt:lpstr>Turbidez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 COVARRUBIAS FERNANDO MIGUEL</dc:creator>
  <cp:lastModifiedBy>VAZQUEZ COVARRUBIAS FERNANDO MIGUEL</cp:lastModifiedBy>
  <dcterms:created xsi:type="dcterms:W3CDTF">2026-04-04T19:32:07Z</dcterms:created>
  <dcterms:modified xsi:type="dcterms:W3CDTF">2026-07-05T06:34:38Z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0x010100BC91A84439FA1F41A228CCA15A8E1736</vt:lpwstr>
  </property>
</Properties>
</file>